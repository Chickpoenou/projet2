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5000"/>
  </bookViews>
  <sheets>
    <sheet name="ACCUEIL" sheetId="1" r:id="rId1"/>
    <sheet name="MODE D'EMPLOI" sheetId="2" r:id="rId2"/>
    <sheet name="COURS DU JOUR" sheetId="3" r:id="rId3"/>
    <sheet name="CAHIER DE TEXTE" sheetId="4" r:id="rId4"/>
    <sheet name="PRÉSENCES" sheetId="5" r:id="rId5"/>
    <sheet name="EXPOSÉS" sheetId="6" r:id="rId6"/>
    <sheet name="RAPPORTS" sheetId="7" r:id="rId7"/>
    <sheet name="REMISES" sheetId="8" r:id="rId8"/>
    <sheet name="FICHE ÉTUDIANT" sheetId="9" r:id="rId9"/>
    <sheet name="SUIVI ENSEIGNANTS" sheetId="10" r:id="rId10"/>
    <sheet name="RÉCAP ABSENCES" sheetId="11" r:id="rId11"/>
    <sheet name="EXPORT PDF" sheetId="12" r:id="rId12"/>
    <sheet name="ÉTUDIANTS" sheetId="13" r:id="rId13"/>
    <sheet name="GROUPES" sheetId="14" r:id="rId14"/>
    <sheet name="MATIÈRES" sheetId="15" r:id="rId15"/>
    <sheet name="EMPLOI DU TEMPS" sheetId="16" r:id="rId16"/>
    <sheet name="PARAMÈTRES" sheetId="17" r:id="rId17"/>
    <sheet name="IMPRESSION" sheetId="18" state="hidden" r:id="rId18"/>
  </sheets>
  <definedNames>
    <definedName name="_xlnm._FilterDatabase" localSheetId="10" hidden="1">'RÉCAP ABSENCES'!$B$6:$U$206</definedName>
    <definedName name="LstCodes">tblMatieres[Code]</definedName>
    <definedName name="LstEnseignants">tblEnseignants[Enseignant]</definedName>
    <definedName name="LstEtudiants">tblEtudiants[Nom et prénoms]</definedName>
    <definedName name="LstGroupes">tblListeGroupes[Groupe]</definedName>
    <definedName name="LstJours">'PARAMÈTRES'!$J$7:$J$12</definedName>
    <definedName name="LstMatieres">tblMatieres[Libellé]</definedName>
    <definedName name="LstModeExport">'PARAMÈTRES'!$K$7:$K$8</definedName>
    <definedName name="LstProf">'PARAMÈTRES'!$F$7:$F$10</definedName>
    <definedName name="LstRapports">tblRapports[ID]</definedName>
    <definedName name="LstSeances">tblSeances[ID]</definedName>
    <definedName name="LstStatutExpose">'PARAMÈTRES'!$H$7:$H$10</definedName>
    <definedName name="LstStatuts">'PARAMÈTRES'!$E$7:$E$10</definedName>
    <definedName name="LstTypeRapport">'PARAMÈTRES'!$I$7:$I$8</definedName>
    <definedName name="LstTypes">'PARAMÈTRES'!$G$7:$G$13</definedName>
    <definedName name="pAnnee">'PARAMÈTRES'!$C$10</definedName>
    <definedName name="pDebut">'PARAMÈTRES'!$C$12</definedName>
    <definedName name="pDelegue">'PARAMÈTRES'!$C$16</definedName>
    <definedName name="pDepartement">'PARAMÈTRES'!$C$7</definedName>
    <definedName name="pEcole">'PARAMÈTRES'!$C$6</definedName>
    <definedName name="pFin">'PARAMÈTRES'!$C$13</definedName>
    <definedName name="pMarge">'PARAMÈTRES'!$C$15</definedName>
    <definedName name="pNiveau">'PARAMÈTRES'!$C$9</definedName>
    <definedName name="pOption">'PARAMÈTRES'!$C$8</definedName>
    <definedName name="_xlnm.Print_Area" localSheetId="8">'FICHE ÉTUDIANT'!$B$2:$Q$60</definedName>
    <definedName name="pSemestre">'PARAMÈTRES'!$C$11</definedName>
    <definedName name="pSeuil">'PARAMÈTRES'!$C$14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<sst xmlns="http://schemas.openxmlformats.org/spreadsheetml/2006/main" count="666" uniqueCount="430">
  <si>
    <t>CAHIER DE TEXTE  ·  PRÉSENCES  ·  SUIVI DES ÉTUDIANTS ET DES ENSEIGNANTS</t>
  </si>
  <si>
    <t>⌂ Accueil</t>
  </si>
  <si>
    <t>?  Mode d'emploi</t>
  </si>
  <si>
    <t>●  COURS DU MOMENT</t>
  </si>
  <si>
    <t>➜  PROCHAIN COURS</t>
  </si>
  <si>
    <t>SÉANCES ENREGISTRÉES</t>
  </si>
  <si>
    <t>HEURES EFFECTUÉES</t>
  </si>
  <si>
    <t>TAUX DE PRÉSENCE</t>
  </si>
  <si>
    <t>ÉTUDIANTS EN ALERTE</t>
  </si>
  <si>
    <t>RAPPORTS NON REMIS</t>
  </si>
  <si>
    <t>EXPOSÉS RESTANTS</t>
  </si>
  <si>
    <t>COURS D'AUJOURD'HUI</t>
  </si>
  <si>
    <t>Horaire</t>
  </si>
  <si>
    <t>Code</t>
  </si>
  <si>
    <t>Matière</t>
  </si>
  <si>
    <t>Enseignant</t>
  </si>
  <si>
    <t>Salle</t>
  </si>
  <si>
    <t>État</t>
  </si>
  <si>
    <t>ACCÈS RAPIDE</t>
  </si>
  <si>
    <t>Les boutons bleu foncé et « DÉMARRER LE COURS » nécessitent l'activation des macros.</t>
  </si>
  <si>
    <t>MODE D'EMPLOI  —  COMMENT UTILISER LE CLASSEUR</t>
  </si>
  <si>
    <t>Lisez une fois ce guide. Les cases jaune clair sont celles que vous remplissez ; tout le reste se calcule seul. Cliquez sur les boutons de couleur pour aller aux feuilles.</t>
  </si>
  <si>
    <t>A</t>
  </si>
  <si>
    <t xml:space="preserve">  AVANT DE COMMENCER (une seule fois)</t>
  </si>
  <si>
    <t>Débloquez le fichier : clic droit sur le fichier › Propriétés › cochez « Débloquer » › OK. Ouvrez-le puis cliquez sur « Activer le contenu » dans le bandeau jaune. Sans cela les boutons ne marchent pas.</t>
  </si>
  <si>
    <t>Feuille PARAMÈTRES : écrivez votre nom dans « Délégué de classe » (il apparaît sur les PDF).</t>
  </si>
  <si>
    <t>Feuille ÉTUDIANTS : vérifiez la liste des étudiants (nom, groupe, email, contact). Le bouton « Ajouter un étudiant » ajoute une ligne.</t>
  </si>
  <si>
    <t>Les feuilles sont protégées pour éviter les erreurs (mot de passe : GC5BTP, bouton « Mode administrateur » sur l'accueil). Les listes déroulantes apparaissent quand vous cliquez sur une case jaune : petite flèche à droite de la case.</t>
  </si>
  <si>
    <t>B</t>
  </si>
  <si>
    <t xml:space="preserve">  À CHAQUE COURS  (feuille COURS DU JOUR)</t>
  </si>
  <si>
    <t>Ouvrir cours du jour ›</t>
  </si>
  <si>
    <t>Sur l'ACCUEIL, cliquez sur le bouton orange « ▶ DÉMARRER LE COURS ». Le classeur regarde le jour, l'heure et l'emploi du temps : la matière, la date et l'heure de début se remplissent seules. S'il n'y a pas de cours prévu à cette heure, choisissez la matière dans la liste.</t>
  </si>
  <si>
    <t>« Présence du professeur » : choisissez Présent, Absent, Retard ou Remplacé dans la liste. En cas de remplacement, choisissez le remplaçant dans la liste « Remplaçant / motif ».</t>
  </si>
  <si>
    <t>Écrivez le contenu du cours (chapitres traités) et les travaux demandés dans les grandes cases jaunes.</t>
  </si>
  <si>
    <t>L'appel : cliquez sur « ✓ TOUS PRÉSENTS », puis double-cliquez sur la case « Statut » d'un étudiant pour la changer : P → A (absent) → R (retard, l'heure d'arrivée est notée) → E (excusé). La case « Afficher le groupe » permet de ne voir qu'un groupe.</t>
  </si>
  <si>
    <t>Cliquez sur « ✔ ENREGISTRER ». La séance va dans le CAHIER DE TEXTE et l'appel dans PRÉSENCES. Vous pouvez enregistrer plusieurs fois.</t>
  </si>
  <si>
    <t>En fin de cours, cliquez sur « ■ CLÔTURER » : l'heure de fin est notée et la durée calculée.</t>
  </si>
  <si>
    <t>Pour corriger une séance passée : choisissez son numéro dans « N° séance (recharger) », modifiez, puis ENREGISTRER.</t>
  </si>
  <si>
    <t>C</t>
  </si>
  <si>
    <t xml:space="preserve">  EXPOSÉS</t>
  </si>
  <si>
    <t>Ouvrir exposés ›</t>
  </si>
  <si>
    <t>Feuille EXPOSÉS : choisissez la matière dans la case jaune « Matière ».</t>
  </si>
  <si>
    <t>Cliquez sur « Une ligne par groupe » : une ligne est créée pour chaque groupe. Complétez le thème et la date prévue.</t>
  </si>
  <si>
    <t>Le jour du passage, cliquez sur la ligne du groupe puis sur « ✔ Marquer présenté ». Le tableau du haut indique pour chaque matière les groupes passés et ceux qui restent.</t>
  </si>
  <si>
    <t>D</t>
  </si>
  <si>
    <t xml:space="preserve">  RAPPORTS</t>
  </si>
  <si>
    <t>Ouvrir rapports ›</t>
  </si>
  <si>
    <t>Feuille RAPPORTS : « ＋ Nouveau rapport », puis choisissez la matière, écrivez l'intitulé, choisissez le type (Individuel ou Groupe) et la date / heure limite.</t>
  </si>
  <si>
    <t>Cliquez sur la ligne du rapport puis sur « ⇩ Générer les remises attendues » : une ligne par étudiant (ou par groupe) est créée dans REMISES.</t>
  </si>
  <si>
    <t>Feuille REMISES : quand quelqu'un dépose son rapport, cliquez sur sa ligne puis sur « ✔ Marquer remis maintenant » (date et heure notées). Le statut À temps / En retard / Non remis se calcule seul. Les boutons « Non remis » et « En retard » filtrent la liste.</t>
  </si>
  <si>
    <t>E</t>
  </si>
  <si>
    <t xml:space="preserve">  CONSULTER</t>
  </si>
  <si>
    <t>Ouvrir fiche étudiant ›</t>
  </si>
  <si>
    <t>FICHE ÉTUDIANT : tapez une partie du nom dans « Rechercher » puis Entrée (ou choisissez dans la liste « Étudiant »). Vous voyez ses présences, absences par matière, cours manqués, rapports et exposés. Bouton « Fiche en PDF » pour l'imprimer.</t>
  </si>
  <si>
    <t>RÉCAP ABSENCES : toute la promotion d'un coup d'œil. Rouge = plus de 3 absences dans une matière.</t>
  </si>
  <si>
    <t>SUIVI ENSEIGNANTS : avancement de chaque matière ; à droite, choisissez un enseignant dans la liste pour voir toutes ses séances, absences et retards.</t>
  </si>
  <si>
    <t>F</t>
  </si>
  <si>
    <t xml:space="preserve">  IMPRIMER / EXPORTER EN PDF</t>
  </si>
  <si>
    <t>Ouvrir export pdf ›</t>
  </si>
  <si>
    <t>Feuille EXPORT PDF : choisissez la matière (vide = toutes), le groupe (vide = tous) et éventuellement une période, puis « Exporter la PRÉSENCE » ou « Exporter le CAHIER DE TEXTE ».</t>
  </si>
  <si>
    <t>Les PDF sont rangés dans le dossier « Export_PDF » à côté du classeur (un sous-dossier par matière).</t>
  </si>
  <si>
    <t>G</t>
  </si>
  <si>
    <t xml:space="preserve">  BON À SAVOIR</t>
  </si>
  <si>
    <t>Enregistrez souvent (Ctrl+S). Le bouton « Sauvegarder » de l'accueil crée en plus une copie datée dans le dossier « Sauvegardes ».</t>
  </si>
  <si>
    <t>Appuyez sur F9 pour actualiser l'heure et le cours du moment sur l'accueil.</t>
  </si>
  <si>
    <t>Ne renommez pas les feuilles et ne supprimez pas les tableaux : les macros s'en servent.</t>
  </si>
  <si>
    <t>Pour modifier une matière, un enseignant ou l'emploi du temps : « Mode administrateur » sur l'accueil.</t>
  </si>
  <si>
    <t>Légende des statuts de présence :</t>
  </si>
  <si>
    <t>P</t>
  </si>
  <si>
    <t>Présent</t>
  </si>
  <si>
    <t>Absent</t>
  </si>
  <si>
    <t>R</t>
  </si>
  <si>
    <t>Retard</t>
  </si>
  <si>
    <t>Excusé</t>
  </si>
  <si>
    <t>COURS DU JOUR  —  CAHIER DE TEXTE ET APPEL EN DIRECT</t>
  </si>
  <si>
    <t>1) Cliquez sur « DÉMARRER LE COURS » : la matière est retrouvée dans l'emploi du temps. 2) Indiquez la présence du professeur et le contenu. 3) Faites l'appel (double-clic = P → A → R → E). 4) ENREGISTRER, puis CLÔTURER en fin de cours.</t>
  </si>
  <si>
    <t>1 · LA SÉANCE</t>
  </si>
  <si>
    <t>2 · CAHIER DE TEXTE</t>
  </si>
  <si>
    <t>N° séance (recharger)</t>
  </si>
  <si>
    <t>Matière (code)</t>
  </si>
  <si>
    <t>Date</t>
  </si>
  <si>
    <t>Heure de début</t>
  </si>
  <si>
    <t>Heure de fin</t>
  </si>
  <si>
    <t>Enseignant prévu</t>
  </si>
  <si>
    <t>Présence du professeur</t>
  </si>
  <si>
    <t>Remplaçant / motif</t>
  </si>
  <si>
    <t>Type de séance</t>
  </si>
  <si>
    <t>Format hh:mm (ex. 08:00)</t>
  </si>
  <si>
    <t>Contenu / chapitres traités</t>
  </si>
  <si>
    <t>Travaux demandés / devoirs / prochaine séance</t>
  </si>
  <si>
    <t>Observations</t>
  </si>
  <si>
    <t>3 · APPEL DES ÉTUDIANTS</t>
  </si>
  <si>
    <t>Afficher le groupe</t>
  </si>
  <si>
    <t>(vide = tous les groupes)</t>
  </si>
  <si>
    <t>Double-cliquez sur une case « Statut » pour la faire défiler : P → A → R → E</t>
  </si>
  <si>
    <t>Présents</t>
  </si>
  <si>
    <t>Absents</t>
  </si>
  <si>
    <t>Retards</t>
  </si>
  <si>
    <t>Excusés</t>
  </si>
  <si>
    <t>Non saisis</t>
  </si>
  <si>
    <t>Taux</t>
  </si>
  <si>
    <t>N°</t>
  </si>
  <si>
    <t>Nom et prénoms</t>
  </si>
  <si>
    <t>Groupe</t>
  </si>
  <si>
    <t>Statut</t>
  </si>
  <si>
    <t>Arrivée</t>
  </si>
  <si>
    <t>Observation</t>
  </si>
  <si>
    <t>CAHIER DE TEXTE  —  TOUTES LES SÉANCES</t>
  </si>
  <si>
    <t>Une ligne par séance, créée automatiquement depuis COURS DU JOUR. Les colonnes claires sont modifiables (corrections) ; les colonnes calculées sont protégées.</t>
  </si>
  <si>
    <t>ID</t>
  </si>
  <si>
    <t>Jour</t>
  </si>
  <si>
    <t>Début</t>
  </si>
  <si>
    <t>Fin</t>
  </si>
  <si>
    <t>Durée (h)</t>
  </si>
  <si>
    <t>Code matière</t>
  </si>
  <si>
    <t>Présence prof</t>
  </si>
  <si>
    <t>Remplaçant ou motif</t>
  </si>
  <si>
    <t>Travaux demandés</t>
  </si>
  <si>
    <t>Taux de présence</t>
  </si>
  <si>
    <t>REGISTRE DES PRÉSENCES</t>
  </si>
  <si>
    <t>Rempli automatiquement par COURS DU JOUR (une ligne par étudiant et par séance). Pour corriger, rechargez la séance dans COURS DU JOUR, ou modifiez directement Statut / Arrivée / Observation.</t>
  </si>
  <si>
    <t>ID séance</t>
  </si>
  <si>
    <t>Étudiant</t>
  </si>
  <si>
    <t>Heure</t>
  </si>
  <si>
    <t>Saisie le</t>
  </si>
  <si>
    <t>EXPOSÉS  —  GROUPES PASSÉS ET RESTANTS</t>
  </si>
  <si>
    <t>Choisissez une matière puis « Une ligne par groupe ». Après chaque passage, sélectionnez la ligne et cliquez sur « Marquer présenté ». Le tableau de synthèse se met à jour seul.</t>
  </si>
  <si>
    <t>SYNTHÈSE PAR MATIÈRE</t>
  </si>
  <si>
    <t>Groupes</t>
  </si>
  <si>
    <t>Ont présenté</t>
  </si>
  <si>
    <t>Restants</t>
  </si>
  <si>
    <t>Groupes ayant présenté</t>
  </si>
  <si>
    <t>Groupes restants</t>
  </si>
  <si>
    <t>LISTE DES EXPOSÉS</t>
  </si>
  <si>
    <t>Thème</t>
  </si>
  <si>
    <t>Date prévue</t>
  </si>
  <si>
    <t>Date de passage</t>
  </si>
  <si>
    <t>Note sur 20</t>
  </si>
  <si>
    <t>Membres</t>
  </si>
  <si>
    <t>RAPPORTS  —  CONSIGNES ET BILAN DES REMISES</t>
  </si>
  <si>
    <t>« Nouveau rapport » crée une consigne. Sélectionnez ensuite sa ligne puis « Générer les remises attendues » : une ligne par étudiant (Individuel) ou par groupe (Groupe) est créée dans REMISES.</t>
  </si>
  <si>
    <t>Intitulé</t>
  </si>
  <si>
    <t>Type</t>
  </si>
  <si>
    <t>Date consigne</t>
  </si>
  <si>
    <t>Date limite</t>
  </si>
  <si>
    <t>Heure limite</t>
  </si>
  <si>
    <t>Attendus</t>
  </si>
  <si>
    <t>Remis</t>
  </si>
  <si>
    <t>À temps</t>
  </si>
  <si>
    <t>En retard</t>
  </si>
  <si>
    <t>Non remis</t>
  </si>
  <si>
    <t>En attente</t>
  </si>
  <si>
    <t>Taux de remise</t>
  </si>
  <si>
    <t>REMISES DES RAPPORTS  —  QUI A REMIS, QUAND</t>
  </si>
  <si>
    <t>Sélectionnez la ou les lignes concernées puis « Marquer remis maintenant » : la date et l'heure du dépôt sont enregistrées et le statut (À temps / En retard / Non remis) se calcule seul.</t>
  </si>
  <si>
    <t>ID rapport</t>
  </si>
  <si>
    <t>Remis par</t>
  </si>
  <si>
    <t>Échéance</t>
  </si>
  <si>
    <t>Date remise</t>
  </si>
  <si>
    <t>Heure remise</t>
  </si>
  <si>
    <t>FICHE ÉTUDIANT  —  PRÉSENCES, ABSENCES, RAPPORTS ET EXPOSÉS</t>
  </si>
  <si>
    <t>Tapez un nom (ou une partie) dans « Rechercher » puis Entrée, ou choisissez l'étudiant dans la liste. Tout se met à jour automatiquement.</t>
  </si>
  <si>
    <t>🔎 Rechercher</t>
  </si>
  <si>
    <t>← tapez « akpa », « brice »… puis Entrée (macros activées)</t>
  </si>
  <si>
    <t>Groupe (défaut)</t>
  </si>
  <si>
    <t>Rôle</t>
  </si>
  <si>
    <t>Email</t>
  </si>
  <si>
    <t>Contact</t>
  </si>
  <si>
    <t>SÉANCES</t>
  </si>
  <si>
    <t>PRÉSENT</t>
  </si>
  <si>
    <t>ABSENT</t>
  </si>
  <si>
    <t>RETARD</t>
  </si>
  <si>
    <t>EXCUSÉ</t>
  </si>
  <si>
    <t>PAR MATIÈRE  (rouge : plus de « seuil » absences ; orange : seuil atteint)</t>
  </si>
  <si>
    <t>Séances</t>
  </si>
  <si>
    <t>Alerte</t>
  </si>
  <si>
    <t>ABSENCES</t>
  </si>
  <si>
    <t>HISTORIQUE COMPLET DES SÉANCES</t>
  </si>
  <si>
    <t>RAPPORTS (individuels et de ses groupes)</t>
  </si>
  <si>
    <t>EXPOSÉS DE SES GROUPES</t>
  </si>
  <si>
    <t>Passage</t>
  </si>
  <si>
    <t>Note</t>
  </si>
  <si>
    <t>SUIVI DES ENSEIGNANTS ET DE L'AVANCEMENT DES COURS</t>
  </si>
  <si>
    <t>Calculé automatiquement à partir du cahier de texte. Les heures d'une séance sans professeur ne sont pas comptées.</t>
  </si>
  <si>
    <t>AVANCEMENT PAR MATIÈRE</t>
  </si>
  <si>
    <t>Enseignant(s)</t>
  </si>
  <si>
    <t>Volume prévu (h)</t>
  </si>
  <si>
    <t>Séances tenues</t>
  </si>
  <si>
    <t>Prof absent</t>
  </si>
  <si>
    <t>Prof en retard</t>
  </si>
  <si>
    <t>Heures effectuées</t>
  </si>
  <si>
    <t>Reste (h)</t>
  </si>
  <si>
    <t>Avancement</t>
  </si>
  <si>
    <t>Dernière séance</t>
  </si>
  <si>
    <t>Dernier contenu traité</t>
  </si>
  <si>
    <t>Présence étudiants</t>
  </si>
  <si>
    <t>ABSENCES, RETARDS ET REMPLACEMENTS DES ENSEIGNANTS</t>
  </si>
  <si>
    <t>Présence</t>
  </si>
  <si>
    <t>SUIVI PAR ENSEIGNANT</t>
  </si>
  <si>
    <t>← choisissez un enseignant dans la liste</t>
  </si>
  <si>
    <t>MATIÈRES</t>
  </si>
  <si>
    <t>SÉANCES TENUES</t>
  </si>
  <si>
    <t>RETARDS</t>
  </si>
  <si>
    <t>HEURES FAITES</t>
  </si>
  <si>
    <t>AVANCEMENT</t>
  </si>
  <si>
    <t>Durée</t>
  </si>
  <si>
    <t>Remplaçant</t>
  </si>
  <si>
    <t>Contenu traité</t>
  </si>
  <si>
    <t>RÉCAPITULATIF DES ABSENCES PAR ÉTUDIANT ET PAR MATIÈRE</t>
  </si>
  <si>
    <t>Nombre d'absences (A). Rouge : au-delà du seuil fixé dans PARAMÈTRES ; orange : seuil atteint.</t>
  </si>
  <si>
    <t>Total A</t>
  </si>
  <si>
    <t>Total R</t>
  </si>
  <si>
    <t>Taux présence</t>
  </si>
  <si>
    <t>Max / matière</t>
  </si>
  <si>
    <t>EXPORT PDF  —  PRÉSENCES PAR MATIÈRE ET PAR GROUPE</t>
  </si>
  <si>
    <t>Choisissez les options puis cliquez sur un bouton. Les fichiers sont créés dans le dossier « Export_PDF » à côté du classeur (un sous-dossier par matière).</t>
  </si>
  <si>
    <t>OPTIONS</t>
  </si>
  <si>
    <t>Vide = toutes les matières (un fichier par matière).</t>
  </si>
  <si>
    <t>Vide = tous les groupes de la matière.</t>
  </si>
  <si>
    <t>Mode (si groupe vide)</t>
  </si>
  <si>
    <t>Un PDF par groupe, ou une seule liste avec tous les groupes.</t>
  </si>
  <si>
    <t>Du (facultatif)</t>
  </si>
  <si>
    <t>Date de début de la période à exporter.</t>
  </si>
  <si>
    <t>Au (facultatif)</t>
  </si>
  <si>
    <t>Date de fin de la période à exporter.</t>
  </si>
  <si>
    <t>Un PDF par groupe</t>
  </si>
  <si>
    <t>À SAVOIR</t>
  </si>
  <si>
    <t>• Feuille de présence : une colonne par séance (date et heure), P / A / R / E en couleur, totaux et taux par étudiant, nombre de présents par séance, zone de signature.</t>
  </si>
  <si>
    <t>• Les colonnes grisées signalent une séance où l'enseignant était absent.</t>
  </si>
  <si>
    <t>• Un étudiant au-delà du seuil d'absences apparaît en rouge.</t>
  </si>
  <si>
    <t>• Le cahier de texte PDF reprend pour chaque séance : date, horaire, durée, présence de l'enseignant, type de séance, contenu et travaux demandés, avec le total d'heures effectuées.</t>
  </si>
  <si>
    <t>• La fiche individuelle d'un étudiant s'exporte depuis la feuille FICHE ÉTUDIANT.</t>
  </si>
  <si>
    <t>Dossier des exports :</t>
  </si>
  <si>
    <t>LISTE DES ÉTUDIANTS</t>
  </si>
  <si>
    <t>Le « Groupe » indiqué ici est le groupe par défaut, utilisé pour toutes les matières sauf celles qui ont des groupes spécifiques (feuille GROUPES).</t>
  </si>
  <si>
    <t>EFFECTIFS</t>
  </si>
  <si>
    <t>Total</t>
  </si>
  <si>
    <t>GROUPES PAR MATIÈRE</t>
  </si>
  <si>
    <t>Par défaut, chaque matière utilise les groupes de la feuille ÉTUDIANTS. Si une matière a des groupes différents : choisissez-la, cliquez sur « Préparer », puis modifiez la colonne Groupe (ou supprimez les étudiants qui ne suivent pas la matière).</t>
  </si>
  <si>
    <t>COMPOSITION DES GROUPES POUR LA MATIÈRE CHOISIE</t>
  </si>
  <si>
    <t>MATIÈRES ET ENSEIGNANTS  —  SEMESTRE 9</t>
  </si>
  <si>
    <t>D'après l'emploi du temps officiel. Le volume prévu sert au calcul de l'avancement. Modifications : mode administrateur (mot de passe).</t>
  </si>
  <si>
    <t>TOTAL</t>
  </si>
  <si>
    <t>UE</t>
  </si>
  <si>
    <t>Abrégé</t>
  </si>
  <si>
    <t>Cours (h)</t>
  </si>
  <si>
    <t>TD (h)</t>
  </si>
  <si>
    <t>TP (h)</t>
  </si>
  <si>
    <t>Volume total (h)</t>
  </si>
  <si>
    <t>Couleur</t>
  </si>
  <si>
    <t>Libellé</t>
  </si>
  <si>
    <t>01GEC2301</t>
  </si>
  <si>
    <t>GEC2301</t>
  </si>
  <si>
    <t>Droits des Travaux publics (Marchés et Passation de marchés)</t>
  </si>
  <si>
    <t>Droit TP</t>
  </si>
  <si>
    <t>GIBIGAYE / SEKLOKA</t>
  </si>
  <si>
    <t>#FCE4D6</t>
  </si>
  <si>
    <t>02GEC2301</t>
  </si>
  <si>
    <t>CAO-DAO Appliqué</t>
  </si>
  <si>
    <t>CAO-DAO</t>
  </si>
  <si>
    <t>GODONOU</t>
  </si>
  <si>
    <t>#DDEBF7</t>
  </si>
  <si>
    <t>01GEC2302</t>
  </si>
  <si>
    <t>GEC2302</t>
  </si>
  <si>
    <t>Sortie pédagogique</t>
  </si>
  <si>
    <t>Sortie péda.</t>
  </si>
  <si>
    <t>HOUANOU K. A.</t>
  </si>
  <si>
    <t>#E2EFDA</t>
  </si>
  <si>
    <t>02GEC2302</t>
  </si>
  <si>
    <t>Travaux Pratiques Spécialisés</t>
  </si>
  <si>
    <t>TP spécialisés</t>
  </si>
  <si>
    <t>GODONOU / SOHOUNHLOUE</t>
  </si>
  <si>
    <t>#FFF2CC</t>
  </si>
  <si>
    <t>GEC2303</t>
  </si>
  <si>
    <t>Introduction aux Eurocodes</t>
  </si>
  <si>
    <t>Eurocodes</t>
  </si>
  <si>
    <t>#EADCF8</t>
  </si>
  <si>
    <t>GEC2304</t>
  </si>
  <si>
    <t>Conception et Calcul de Ponts</t>
  </si>
  <si>
    <t>Ponts</t>
  </si>
  <si>
    <t>DOKO V.</t>
  </si>
  <si>
    <t>#D0E8F2</t>
  </si>
  <si>
    <t>GEC2305</t>
  </si>
  <si>
    <t>Projet de Construction (BA et CM)</t>
  </si>
  <si>
    <t>Projet BA-CM</t>
  </si>
  <si>
    <t>GIBIGAYE</t>
  </si>
  <si>
    <t>#F8D7DA</t>
  </si>
  <si>
    <t>GEC2306</t>
  </si>
  <si>
    <t>Métré et Estimation de Prix</t>
  </si>
  <si>
    <t>Métré</t>
  </si>
  <si>
    <t>MILOHIN</t>
  </si>
  <si>
    <t>#E8E3D3</t>
  </si>
  <si>
    <t>01GEC2307</t>
  </si>
  <si>
    <t>GEC2307</t>
  </si>
  <si>
    <t>Entrepreneuriat et Leadership</t>
  </si>
  <si>
    <t>Entrepreneuriat</t>
  </si>
  <si>
    <t>ALE</t>
  </si>
  <si>
    <t>#D5F5E3</t>
  </si>
  <si>
    <t>02GEC2307</t>
  </si>
  <si>
    <t>Législation du travail</t>
  </si>
  <si>
    <t>Législation</t>
  </si>
  <si>
    <t>Prof X</t>
  </si>
  <si>
    <t>#FDEBD0</t>
  </si>
  <si>
    <t>GEC2308</t>
  </si>
  <si>
    <t>Management des Projets</t>
  </si>
  <si>
    <t>Management</t>
  </si>
  <si>
    <t>ASSOGBA Gauthier</t>
  </si>
  <si>
    <t>#E5E7E9</t>
  </si>
  <si>
    <t>ENSEIGNANTS (liste déroulante du classeur)</t>
  </si>
  <si>
    <t>Téléphone</t>
  </si>
  <si>
    <t>SEKLOKA</t>
  </si>
  <si>
    <t>SOHOUNHLOUE</t>
  </si>
  <si>
    <t>EMPLOI DU TEMPS  —  du 28/09/2026 au 22/01/2027</t>
  </si>
  <si>
    <t>Le tableau de gauche pilote « DÉMARRER LE COURS » et l'accueil (cours du moment, prochain cours). La grille de droite est une vue de l'emploi du temps officiel.</t>
  </si>
  <si>
    <t>N° jour</t>
  </si>
  <si>
    <t>Minutes avant</t>
  </si>
  <si>
    <t>Lundi</t>
  </si>
  <si>
    <t>B 2650</t>
  </si>
  <si>
    <t>Mardi</t>
  </si>
  <si>
    <t>B-2610</t>
  </si>
  <si>
    <t>Mercredi</t>
  </si>
  <si>
    <t>Jeudi</t>
  </si>
  <si>
    <t>Vendredi</t>
  </si>
  <si>
    <t>Samedi</t>
  </si>
  <si>
    <t>LUNDI</t>
  </si>
  <si>
    <t>MARDI</t>
  </si>
  <si>
    <t>MERCREDI</t>
  </si>
  <si>
    <t>JEUDI</t>
  </si>
  <si>
    <t>VENDREDI</t>
  </si>
  <si>
    <t>SAMEDI</t>
  </si>
  <si>
    <t>08h - 09h</t>
  </si>
  <si>
    <t>09h - 10h</t>
  </si>
  <si>
    <t>10h - 11h</t>
  </si>
  <si>
    <t>11h - 12h</t>
  </si>
  <si>
    <t>12h - 13h</t>
  </si>
  <si>
    <t>13h - 14h</t>
  </si>
  <si>
    <t>14h - 15h</t>
  </si>
  <si>
    <t>15h - 16h</t>
  </si>
  <si>
    <t>16h - 17h</t>
  </si>
  <si>
    <t>17h - 18h</t>
  </si>
  <si>
    <t>18h - 19h</t>
  </si>
  <si>
    <t>GEC2304
Ponts
DOKO V. · B 2650</t>
  </si>
  <si>
    <t>01GEC2301
Droit TP
GIBIGAYE / SEKLOKA · B 2650</t>
  </si>
  <si>
    <t>GEC2306
Métré
MILOHIN · B 2650</t>
  </si>
  <si>
    <t>GEC2303
Eurocodes
HOUANOU K. A. · B-2610</t>
  </si>
  <si>
    <t>GEC2305
Projet BA-CM
GIBIGAYE · B 2650</t>
  </si>
  <si>
    <t>02GEC2307
Législation
Prof X · B 2650</t>
  </si>
  <si>
    <t>02GEC2302
TP spécialisés
GODONOU / SOHOUNHLOUE · B 2650</t>
  </si>
  <si>
    <t>01GEC2307
Entrepreneuriat
ALE · B 2650</t>
  </si>
  <si>
    <t>02GEC2301
CAO-DAO
GODONOU · B-2610</t>
  </si>
  <si>
    <t>GEC2308
Management
ASSOGBA Gauthier</t>
  </si>
  <si>
    <t>01GEC2302
Sortie péda.
HOUANOU K. A.</t>
  </si>
  <si>
    <t>TPE
en salle de cours</t>
  </si>
  <si>
    <t>PAUSE</t>
  </si>
  <si>
    <t>PARAMÈTRES ET LISTES</t>
  </si>
  <si>
    <t>Les valeurs en jaune sont modifiables. Les listes servent aux menus déroulants de tout le classeur.</t>
  </si>
  <si>
    <t>PARAMÈTRES GÉNÉRAUX</t>
  </si>
  <si>
    <t>Établissement</t>
  </si>
  <si>
    <t>École Polytechnique d'Abomey-Calavi</t>
  </si>
  <si>
    <t>Département</t>
  </si>
  <si>
    <t>Département de Génie Civil</t>
  </si>
  <si>
    <t>Option</t>
  </si>
  <si>
    <t>BTP</t>
  </si>
  <si>
    <t>Niveau / promotion</t>
  </si>
  <si>
    <t>GC5</t>
  </si>
  <si>
    <t>Année académique</t>
  </si>
  <si>
    <t>2026-2027</t>
  </si>
  <si>
    <t>Semestre</t>
  </si>
  <si>
    <t>Semestre 9</t>
  </si>
  <si>
    <t>Début de la période</t>
  </si>
  <si>
    <t>Fin de la période</t>
  </si>
  <si>
    <t>Seuil d'alerte : absences par matière (rouge au-delà)</t>
  </si>
  <si>
    <t>Marge avant le début d'un cours (minutes)</t>
  </si>
  <si>
    <t>Délégué de classe (nom affiché sur les PDF)</t>
  </si>
  <si>
    <t>LISTES DÉROULANTES</t>
  </si>
  <si>
    <t>Statut de présence</t>
  </si>
  <si>
    <t>Remplacé</t>
  </si>
  <si>
    <t>Cours</t>
  </si>
  <si>
    <t>TD</t>
  </si>
  <si>
    <t>TP</t>
  </si>
  <si>
    <t>Exposé</t>
  </si>
  <si>
    <t>Évaluation</t>
  </si>
  <si>
    <t>Sortie</t>
  </si>
  <si>
    <t>Rattrapage</t>
  </si>
  <si>
    <t>Statut d'exposé</t>
  </si>
  <si>
    <t>À venir</t>
  </si>
  <si>
    <t>Présenté</t>
  </si>
  <si>
    <t>Reporté</t>
  </si>
  <si>
    <t>Annulé</t>
  </si>
  <si>
    <t>Type de rapport</t>
  </si>
  <si>
    <t>Individuel</t>
  </si>
  <si>
    <t>Jours</t>
  </si>
  <si>
    <t>Mode d'export</t>
  </si>
  <si>
    <t>Un seul PDF (tous les groupes)</t>
  </si>
  <si>
    <t>GROUPES</t>
  </si>
  <si>
    <t>Groupe 1</t>
  </si>
  <si>
    <t>Groupe 2</t>
  </si>
  <si>
    <t>Groupe 3</t>
  </si>
  <si>
    <t>Groupe 4</t>
  </si>
  <si>
    <t>Groupe 5</t>
  </si>
  <si>
    <t>Groupe 6</t>
  </si>
  <si>
    <t>Groupe 7</t>
  </si>
  <si>
    <t>PALETTE DE COULEURS DU CLASSEUR</t>
  </si>
  <si>
    <t>Bleu marine — titres, en-têtes principaux</t>
  </si>
  <si>
    <t>#1F3864</t>
  </si>
  <si>
    <t>Bleu — en-têtes de tableaux</t>
  </si>
  <si>
    <t>#2E75B6</t>
  </si>
  <si>
    <t>Bleu clair — sous-en-têtes</t>
  </si>
  <si>
    <t>Bleu pâle — lignes alternées, cartes</t>
  </si>
  <si>
    <t>#F3F7FC</t>
  </si>
  <si>
    <t>Orange — saisie (cours du jour, cahier, présences)</t>
  </si>
  <si>
    <t>#ED7D31</t>
  </si>
  <si>
    <t>Vert — consultation (fiches, suivi, exports)</t>
  </si>
  <si>
    <t>#70AD47</t>
  </si>
  <si>
    <t>Rouge — alertes, suppressions</t>
  </si>
  <si>
    <t>#C00000</t>
  </si>
  <si>
    <t>Or — prochain cours, exposés</t>
  </si>
  <si>
    <t>#BF9000</t>
  </si>
  <si>
    <t>Jaune clair — cellules à remplir</t>
  </si>
  <si>
    <t>#FFFDF2</t>
  </si>
  <si>
    <t>P — Présent</t>
  </si>
  <si>
    <t>#C6EFCE / #006100</t>
  </si>
  <si>
    <t>A — Absent</t>
  </si>
  <si>
    <t>#FFC7CE / #9C0006</t>
  </si>
  <si>
    <t>R — Retard</t>
  </si>
  <si>
    <t>#FFEB9C / #9C5700</t>
  </si>
  <si>
    <t>E — Excusé</t>
  </si>
  <si>
    <t>#D9D9D9 / #404040</t>
  </si>
  <si>
    <t>Mot de passe des feuilles protégées : GC5BTP  (modifiable dans le module VBA modOutils).</t>
  </si>
  <si>
    <t>Feuille de travail des exports PDF (masquée).</t>
  </si>
</sst>
</file>

<file path=xl/styles.xml><?xml version="1.0" encoding="utf-8"?>
<styleSheet xmlns="http://schemas.openxmlformats.org/spreadsheetml/2006/main">
  <numFmts count="8">
    <numFmt numFmtId="164" formatCode="[$-40C]dddd d mmmm yyyy"/>
    <numFmt numFmtId="165" formatCode="0.0&quot; h&quot;"/>
    <numFmt numFmtId="166" formatCode="0%"/>
    <numFmt numFmtId="167" formatCode="dd/mm/yyyy"/>
    <numFmt numFmtId="168" formatCode="hh:mm"/>
    <numFmt numFmtId="169" formatCode="0.0"/>
    <numFmt numFmtId="170" formatCode="dd/mm/yyyy hh:mm"/>
    <numFmt numFmtId="171" formatCode="00 00 00 00 00"/>
  </numFmts>
  <fonts count="64">
    <font>
      <sz val="11"/>
      <color theme="1"/>
      <name val="Calibri"/>
      <family val="2"/>
      <scheme val="minor"/>
    </font>
    <font>
      <u/>
      <sz val="7"/>
      <color rgb="FF2E75B6"/>
      <name val="Segoe UI"/>
      <family val="2"/>
    </font>
    <font>
      <b/>
      <sz val="17"/>
      <color rgb="FFFFFFFF"/>
      <name val="Segoe UI"/>
      <family val="2"/>
    </font>
    <font>
      <i/>
      <sz val="10"/>
      <color rgb="FF595959"/>
      <name val="Segoe UI"/>
      <family val="2"/>
    </font>
    <font>
      <i/>
      <sz val="9"/>
      <color rgb="FF595959"/>
      <name val="Segoe UI"/>
      <family val="2"/>
    </font>
    <font>
      <b/>
      <sz val="12"/>
      <color rgb="FF1F3864"/>
      <name val="Segoe UI"/>
      <family val="2"/>
    </font>
    <font>
      <sz val="10"/>
      <color theme="1"/>
      <name val="Segoe UI"/>
      <family val="2"/>
    </font>
    <font>
      <sz val="9"/>
      <color rgb="FF595959"/>
      <name val="Segoe UI"/>
      <family val="2"/>
    </font>
    <font>
      <b/>
      <sz val="10"/>
      <color rgb="FFFFFFFF"/>
      <name val="Segoe UI"/>
      <family val="2"/>
    </font>
    <font>
      <b/>
      <sz val="15"/>
      <color rgb="FF1F3864"/>
      <name val="Segoe UI"/>
      <family val="2"/>
    </font>
    <font>
      <sz val="10"/>
      <color rgb="FF595959"/>
      <name val="Segoe UI"/>
      <family val="2"/>
    </font>
    <font>
      <b/>
      <sz val="10"/>
      <color rgb="FF006100"/>
      <name val="Segoe UI"/>
      <family val="2"/>
    </font>
    <font>
      <b/>
      <sz val="8"/>
      <color rgb="FFFFFFFF"/>
      <name val="Segoe UI"/>
      <family val="2"/>
    </font>
    <font>
      <b/>
      <sz val="20"/>
      <color rgb="FF2E75B6"/>
      <name val="Segoe UI"/>
      <family val="2"/>
    </font>
    <font>
      <b/>
      <sz val="20"/>
      <color rgb="FF70AD47"/>
      <name val="Segoe UI"/>
      <family val="2"/>
    </font>
    <font>
      <b/>
      <sz val="20"/>
      <color rgb="FF1F3864"/>
      <name val="Segoe UI"/>
      <family val="2"/>
    </font>
    <font>
      <b/>
      <sz val="20"/>
      <color rgb="FFC00000"/>
      <name val="Segoe UI"/>
      <family val="2"/>
    </font>
    <font>
      <b/>
      <sz val="20"/>
      <color rgb="FFED7D31"/>
      <name val="Segoe UI"/>
      <family val="2"/>
    </font>
    <font>
      <b/>
      <sz val="20"/>
      <color rgb="FFBF9000"/>
      <name val="Segoe UI"/>
      <family val="2"/>
    </font>
    <font>
      <sz val="8"/>
      <color rgb="FF595959"/>
      <name val="Segoe UI"/>
      <family val="2"/>
    </font>
    <font>
      <b/>
      <sz val="10"/>
      <color rgb="FF1F3864"/>
      <name val="Segoe UI"/>
      <family val="2"/>
    </font>
    <font>
      <b/>
      <sz val="10"/>
      <color theme="1"/>
      <name val="Segoe UI"/>
      <family val="2"/>
    </font>
    <font>
      <i/>
      <sz val="8"/>
      <color rgb="FF595959"/>
      <name val="Segoe UI"/>
      <family val="2"/>
    </font>
    <font>
      <b/>
      <sz val="13"/>
      <color rgb="FFFFFFFF"/>
      <name val="Segoe UI"/>
      <family val="2"/>
    </font>
    <font>
      <b/>
      <sz val="12"/>
      <color rgb="FFFFFFFF"/>
      <name val="Segoe UI"/>
      <family val="2"/>
    </font>
    <font>
      <b/>
      <u/>
      <sz val="10"/>
      <color rgb="FFFFFFFF"/>
      <name val="Segoe UI"/>
      <family val="2"/>
    </font>
    <font>
      <b/>
      <sz val="12"/>
      <color rgb="FFED7D31"/>
      <name val="Segoe UI"/>
      <family val="2"/>
    </font>
    <font>
      <b/>
      <sz val="12"/>
      <color rgb="FFC55A11"/>
      <name val="Segoe UI"/>
      <family val="2"/>
    </font>
    <font>
      <b/>
      <sz val="12"/>
      <color rgb="FF70AD47"/>
      <name val="Segoe UI"/>
      <family val="2"/>
    </font>
    <font>
      <b/>
      <sz val="12"/>
      <color rgb="FF7F7F7F"/>
      <name val="Segoe UI"/>
      <family val="2"/>
    </font>
    <font>
      <b/>
      <sz val="10"/>
      <color rgb="FF9C0006"/>
      <name val="Segoe UI"/>
      <family val="2"/>
    </font>
    <font>
      <b/>
      <sz val="10"/>
      <color rgb="FF9C5700"/>
      <name val="Segoe UI"/>
      <family val="2"/>
    </font>
    <font>
      <b/>
      <sz val="10"/>
      <color rgb="FF404040"/>
      <name val="Segoe UI"/>
      <family val="2"/>
    </font>
    <font>
      <b/>
      <sz val="10"/>
      <color rgb="FF2E75B6"/>
      <name val="Segoe UI"/>
      <family val="2"/>
    </font>
    <font>
      <b/>
      <sz val="8"/>
      <color rgb="FF006100"/>
      <name val="Segoe UI"/>
      <family val="2"/>
    </font>
    <font>
      <b/>
      <sz val="8"/>
      <color rgb="FF9C0006"/>
      <name val="Segoe UI"/>
      <family val="2"/>
    </font>
    <font>
      <b/>
      <sz val="8"/>
      <color rgb="FF9C5700"/>
      <name val="Segoe UI"/>
      <family val="2"/>
    </font>
    <font>
      <b/>
      <sz val="8"/>
      <color rgb="FF404040"/>
      <name val="Segoe UI"/>
      <family val="2"/>
    </font>
    <font>
      <b/>
      <sz val="8"/>
      <color rgb="FF1F3864"/>
      <name val="Segoe UI"/>
      <family val="2"/>
    </font>
    <font>
      <b/>
      <sz val="14"/>
      <color rgb="FF006100"/>
      <name val="Segoe UI"/>
      <family val="2"/>
    </font>
    <font>
      <b/>
      <sz val="14"/>
      <color rgb="FF9C0006"/>
      <name val="Segoe UI"/>
      <family val="2"/>
    </font>
    <font>
      <b/>
      <sz val="14"/>
      <color rgb="FF9C5700"/>
      <name val="Segoe UI"/>
      <family val="2"/>
    </font>
    <font>
      <b/>
      <sz val="14"/>
      <color rgb="FF404040"/>
      <name val="Segoe UI"/>
      <family val="2"/>
    </font>
    <font>
      <b/>
      <sz val="14"/>
      <color rgb="FF1F3864"/>
      <name val="Segoe UI"/>
      <family val="2"/>
    </font>
    <font>
      <sz val="9"/>
      <color theme="1"/>
      <name val="Segoe UI"/>
      <family val="2"/>
    </font>
    <font>
      <b/>
      <sz val="18"/>
      <color rgb="FF2E75B6"/>
      <name val="Segoe UI"/>
      <family val="2"/>
    </font>
    <font>
      <b/>
      <sz val="18"/>
      <color rgb="FF1F3864"/>
      <name val="Segoe UI"/>
      <family val="2"/>
    </font>
    <font>
      <b/>
      <sz val="18"/>
      <color rgb="FF2E7D32"/>
      <name val="Segoe UI"/>
      <family val="2"/>
    </font>
    <font>
      <b/>
      <sz val="18"/>
      <color rgb="FFC00000"/>
      <name val="Segoe UI"/>
      <family val="2"/>
    </font>
    <font>
      <b/>
      <sz val="18"/>
      <color rgb="FFC55A11"/>
      <name val="Segoe UI"/>
      <family val="2"/>
    </font>
    <font>
      <b/>
      <sz val="18"/>
      <color rgb="FF7F7F7F"/>
      <name val="Segoe UI"/>
      <family val="2"/>
    </font>
    <font>
      <b/>
      <sz val="16"/>
      <color rgb="FF2E75B6"/>
      <name val="Segoe UI"/>
      <family val="2"/>
    </font>
    <font>
      <b/>
      <sz val="16"/>
      <color rgb="FF70AD47"/>
      <name val="Segoe UI"/>
      <family val="2"/>
    </font>
    <font>
      <b/>
      <sz val="16"/>
      <color rgb="FFC00000"/>
      <name val="Segoe UI"/>
      <family val="2"/>
    </font>
    <font>
      <b/>
      <sz val="16"/>
      <color rgb="FFC55A11"/>
      <name val="Segoe UI"/>
      <family val="2"/>
    </font>
    <font>
      <b/>
      <sz val="16"/>
      <color rgb="FF1F3864"/>
      <name val="Segoe UI"/>
      <family val="2"/>
    </font>
    <font>
      <b/>
      <sz val="16"/>
      <color rgb="FFBF9000"/>
      <name val="Segoe UI"/>
      <family val="2"/>
    </font>
    <font>
      <sz val="7"/>
      <color rgb="FFA6A6A6"/>
      <name val="Segoe UI"/>
      <family val="2"/>
    </font>
    <font>
      <b/>
      <sz val="10"/>
      <color rgb="FFC00000"/>
      <name val="Segoe UI"/>
      <family val="2"/>
    </font>
    <font>
      <sz val="10"/>
      <color rgb="FF2E75B6"/>
      <name val="Segoe UI"/>
      <family val="2"/>
    </font>
    <font>
      <b/>
      <sz val="10"/>
      <color rgb="FFBF9000"/>
      <name val="Segoe UI"/>
      <family val="2"/>
    </font>
    <font>
      <sz val="8"/>
      <color rgb="FFA6A6A6"/>
      <name val="Segoe UI"/>
      <family val="2"/>
    </font>
    <font>
      <b/>
      <sz val="9"/>
      <color rgb="FF1F3864"/>
      <name val="Segoe UI"/>
      <family val="2"/>
    </font>
    <font>
      <i/>
      <sz val="10"/>
      <color rgb="FFA6A6A6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DF2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DCF8"/>
        <bgColor indexed="64"/>
      </patternFill>
    </fill>
    <fill>
      <patternFill patternType="solid">
        <fgColor rgb="FFD0E8F2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DEBD0"/>
        <bgColor indexed="64"/>
      </patternFill>
    </fill>
    <fill>
      <patternFill patternType="solid">
        <fgColor rgb="FFE5E7E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tted">
        <color rgb="FFE7E6E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4B183"/>
      </left>
      <right style="thin">
        <color rgb="FFF4B183"/>
      </right>
      <top style="thin">
        <color rgb="FFF4B183"/>
      </top>
      <bottom style="thin">
        <color rgb="FFF4B18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auto="1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 wrapText="1"/>
    </xf>
    <xf numFmtId="164" fontId="5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0" xfId="0" applyFont="1" applyFill="1" applyAlignment="1">
      <alignment horizontal="left" vertical="center" indent="1"/>
    </xf>
    <xf numFmtId="0" fontId="8" fillId="4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0" fontId="10" fillId="5" borderId="0" xfId="0" applyFont="1" applyFill="1" applyAlignment="1">
      <alignment horizontal="left" vertical="center" indent="1"/>
    </xf>
    <xf numFmtId="0" fontId="11" fillId="5" borderId="0" xfId="0" applyFont="1" applyFill="1" applyAlignment="1">
      <alignment horizontal="left" vertical="center" indent="1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" fontId="13" fillId="5" borderId="0" xfId="0" applyNumberFormat="1" applyFont="1" applyFill="1" applyAlignment="1">
      <alignment horizontal="center" vertical="center"/>
    </xf>
    <xf numFmtId="165" fontId="14" fillId="5" borderId="0" xfId="0" applyNumberFormat="1" applyFont="1" applyFill="1" applyAlignment="1">
      <alignment horizontal="center" vertical="center"/>
    </xf>
    <xf numFmtId="166" fontId="15" fillId="5" borderId="0" xfId="0" applyNumberFormat="1" applyFont="1" applyFill="1" applyAlignment="1">
      <alignment horizontal="center" vertical="center"/>
    </xf>
    <xf numFmtId="1" fontId="16" fillId="5" borderId="0" xfId="0" applyNumberFormat="1" applyFont="1" applyFill="1" applyAlignment="1">
      <alignment horizontal="center" vertical="center"/>
    </xf>
    <xf numFmtId="1" fontId="17" fillId="5" borderId="0" xfId="0" applyNumberFormat="1" applyFont="1" applyFill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left" vertical="center" indent="1"/>
    </xf>
    <xf numFmtId="0" fontId="6" fillId="5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22" fillId="0" borderId="0" xfId="0" applyFont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vertical="top" wrapText="1"/>
    </xf>
    <xf numFmtId="0" fontId="23" fillId="8" borderId="0" xfId="0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5" fillId="8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3" fillId="11" borderId="0" xfId="0" applyFont="1" applyFill="1" applyAlignment="1">
      <alignment horizontal="center" vertical="center"/>
    </xf>
    <xf numFmtId="0" fontId="24" fillId="11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25" fillId="11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top"/>
    </xf>
    <xf numFmtId="0" fontId="23" fillId="6" borderId="0" xfId="0" applyFont="1" applyFill="1" applyAlignment="1">
      <alignment horizontal="center" vertical="center"/>
    </xf>
    <xf numFmtId="0" fontId="24" fillId="6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top"/>
    </xf>
    <xf numFmtId="0" fontId="23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29" fillId="0" borderId="0" xfId="0" applyFont="1" applyAlignment="1">
      <alignment horizontal="center" vertical="top"/>
    </xf>
    <xf numFmtId="0" fontId="20" fillId="0" borderId="0" xfId="0" applyFont="1" applyAlignment="1">
      <alignment vertical="center"/>
    </xf>
    <xf numFmtId="0" fontId="11" fillId="1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30" fillId="14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/>
    </xf>
    <xf numFmtId="0" fontId="32" fillId="16" borderId="0" xfId="0" applyFont="1" applyFill="1" applyAlignment="1">
      <alignment horizontal="center" vertical="center"/>
    </xf>
    <xf numFmtId="0" fontId="20" fillId="5" borderId="3" xfId="0" applyFont="1" applyFill="1" applyBorder="1" applyAlignment="1">
      <alignment horizontal="left" vertical="center" indent="1"/>
    </xf>
    <xf numFmtId="0" fontId="21" fillId="17" borderId="4" xfId="0" applyFont="1" applyFill="1" applyBorder="1" applyAlignment="1" applyProtection="1">
      <alignment horizontal="left" vertical="center" indent="1"/>
      <protection locked="0"/>
    </xf>
    <xf numFmtId="0" fontId="33" fillId="0" borderId="0" xfId="0" applyFont="1" applyAlignment="1">
      <alignment horizontal="left" vertical="center" indent="1"/>
    </xf>
    <xf numFmtId="0" fontId="6" fillId="17" borderId="4" xfId="0" applyFont="1" applyFill="1" applyBorder="1" applyAlignment="1" applyProtection="1">
      <alignment vertical="top" wrapText="1"/>
      <protection locked="0"/>
    </xf>
    <xf numFmtId="167" fontId="21" fillId="17" borderId="4" xfId="0" applyNumberFormat="1" applyFont="1" applyFill="1" applyBorder="1" applyAlignment="1" applyProtection="1">
      <alignment horizontal="center" vertical="center"/>
      <protection locked="0"/>
    </xf>
    <xf numFmtId="168" fontId="21" fillId="17" borderId="4" xfId="0" applyNumberFormat="1" applyFont="1" applyFill="1" applyBorder="1" applyAlignment="1" applyProtection="1">
      <alignment horizontal="center" vertical="center"/>
      <protection locked="0"/>
    </xf>
    <xf numFmtId="0" fontId="21" fillId="5" borderId="3" xfId="0" applyFont="1" applyFill="1" applyBorder="1" applyAlignment="1">
      <alignment horizontal="left" vertical="center" indent="1"/>
    </xf>
    <xf numFmtId="0" fontId="6" fillId="17" borderId="4" xfId="0" applyFont="1" applyFill="1" applyBorder="1" applyAlignment="1" applyProtection="1">
      <alignment horizontal="left" vertical="center" indent="1"/>
      <protection locked="0"/>
    </xf>
    <xf numFmtId="0" fontId="34" fillId="13" borderId="3" xfId="0" applyFont="1" applyFill="1" applyBorder="1" applyAlignment="1">
      <alignment horizontal="center" vertical="center"/>
    </xf>
    <xf numFmtId="0" fontId="35" fillId="14" borderId="3" xfId="0" applyFont="1" applyFill="1" applyBorder="1" applyAlignment="1">
      <alignment horizontal="center" vertical="center"/>
    </xf>
    <xf numFmtId="0" fontId="36" fillId="15" borderId="3" xfId="0" applyFont="1" applyFill="1" applyBorder="1" applyAlignment="1">
      <alignment horizontal="center" vertical="center"/>
    </xf>
    <xf numFmtId="0" fontId="37" fillId="16" borderId="3" xfId="0" applyFont="1" applyFill="1" applyBorder="1" applyAlignment="1">
      <alignment horizontal="center" vertical="center"/>
    </xf>
    <xf numFmtId="0" fontId="38" fillId="10" borderId="3" xfId="0" applyFont="1" applyFill="1" applyBorder="1" applyAlignment="1">
      <alignment horizontal="center" vertical="center"/>
    </xf>
    <xf numFmtId="0" fontId="38" fillId="9" borderId="3" xfId="0" applyFont="1" applyFill="1" applyBorder="1" applyAlignment="1">
      <alignment horizontal="center" vertical="center"/>
    </xf>
    <xf numFmtId="1" fontId="39" fillId="13" borderId="3" xfId="0" applyNumberFormat="1" applyFont="1" applyFill="1" applyBorder="1" applyAlignment="1">
      <alignment horizontal="center" vertical="center"/>
    </xf>
    <xf numFmtId="1" fontId="40" fillId="14" borderId="3" xfId="0" applyNumberFormat="1" applyFont="1" applyFill="1" applyBorder="1" applyAlignment="1">
      <alignment horizontal="center" vertical="center"/>
    </xf>
    <xf numFmtId="1" fontId="41" fillId="15" borderId="3" xfId="0" applyNumberFormat="1" applyFont="1" applyFill="1" applyBorder="1" applyAlignment="1">
      <alignment horizontal="center" vertical="center"/>
    </xf>
    <xf numFmtId="1" fontId="42" fillId="16" borderId="3" xfId="0" applyNumberFormat="1" applyFont="1" applyFill="1" applyBorder="1" applyAlignment="1">
      <alignment horizontal="center" vertical="center"/>
    </xf>
    <xf numFmtId="1" fontId="43" fillId="10" borderId="3" xfId="0" applyNumberFormat="1" applyFont="1" applyFill="1" applyBorder="1" applyAlignment="1">
      <alignment horizontal="center" vertical="center"/>
    </xf>
    <xf numFmtId="166" fontId="43" fillId="9" borderId="3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10" fillId="10" borderId="6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left" vertical="center" indent="1"/>
    </xf>
    <xf numFmtId="0" fontId="6" fillId="10" borderId="6" xfId="0" applyFont="1" applyFill="1" applyBorder="1" applyAlignment="1">
      <alignment horizontal="center" vertical="center"/>
    </xf>
    <xf numFmtId="0" fontId="21" fillId="10" borderId="6" xfId="0" applyFont="1" applyFill="1" applyBorder="1" applyAlignment="1" applyProtection="1">
      <alignment horizontal="center" vertical="center"/>
      <protection locked="0"/>
    </xf>
    <xf numFmtId="168" fontId="6" fillId="10" borderId="6" xfId="0" applyNumberFormat="1" applyFont="1" applyFill="1" applyBorder="1" applyAlignment="1" applyProtection="1">
      <alignment horizontal="center" vertical="center"/>
      <protection locked="0"/>
    </xf>
    <xf numFmtId="0" fontId="6" fillId="10" borderId="6" xfId="0" applyFont="1" applyFill="1" applyBorder="1" applyAlignment="1" applyProtection="1">
      <alignment horizontal="left" vertical="center" indent="1"/>
      <protection locked="0"/>
    </xf>
    <xf numFmtId="0" fontId="10" fillId="0" borderId="0" xfId="0" applyFont="1" applyAlignment="1">
      <alignment horizontal="left" vertical="center" indent="1"/>
    </xf>
    <xf numFmtId="0" fontId="10" fillId="5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left" vertical="center" indent="1"/>
    </xf>
    <xf numFmtId="0" fontId="6" fillId="5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 applyProtection="1">
      <alignment horizontal="center" vertical="center"/>
      <protection locked="0"/>
    </xf>
    <xf numFmtId="168" fontId="6" fillId="5" borderId="6" xfId="0" applyNumberFormat="1" applyFont="1" applyFill="1" applyBorder="1" applyAlignment="1" applyProtection="1">
      <alignment horizontal="center" vertical="center"/>
      <protection locked="0"/>
    </xf>
    <xf numFmtId="0" fontId="6" fillId="5" borderId="6" xfId="0" applyFont="1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left" vertical="center" indent="1" wrapText="1"/>
    </xf>
    <xf numFmtId="0" fontId="6" fillId="5" borderId="0" xfId="0" applyFont="1" applyFill="1" applyAlignment="1">
      <alignment horizontal="left" vertical="center" indent="1" wrapText="1"/>
    </xf>
    <xf numFmtId="170" fontId="6" fillId="0" borderId="0" xfId="0" applyNumberFormat="1" applyFont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5" fillId="17" borderId="4" xfId="0" applyFont="1" applyFill="1" applyBorder="1" applyAlignment="1" applyProtection="1">
      <alignment horizontal="left" vertical="center" indent="1"/>
      <protection locked="0"/>
    </xf>
    <xf numFmtId="167" fontId="44" fillId="0" borderId="0" xfId="0" applyNumberFormat="1" applyFont="1" applyAlignment="1">
      <alignment horizontal="center" vertical="center"/>
    </xf>
    <xf numFmtId="168" fontId="44" fillId="0" borderId="0" xfId="0" applyNumberFormat="1" applyFont="1" applyAlignment="1">
      <alignment horizontal="center" vertical="center"/>
    </xf>
    <xf numFmtId="170" fontId="44" fillId="0" borderId="0" xfId="0" applyNumberFormat="1" applyFont="1" applyAlignment="1">
      <alignment horizontal="center" vertical="center"/>
    </xf>
    <xf numFmtId="0" fontId="6" fillId="5" borderId="3" xfId="0" applyFont="1" applyFill="1" applyBorder="1" applyAlignment="1">
      <alignment horizontal="left" vertical="center" indent="1"/>
    </xf>
    <xf numFmtId="171" fontId="6" fillId="5" borderId="3" xfId="0" applyNumberFormat="1" applyFont="1" applyFill="1" applyBorder="1" applyAlignment="1">
      <alignment horizontal="left" vertical="center" indent="1"/>
    </xf>
    <xf numFmtId="0" fontId="12" fillId="18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1" fontId="45" fillId="5" borderId="0" xfId="0" applyNumberFormat="1" applyFont="1" applyFill="1" applyAlignment="1">
      <alignment horizontal="center" vertical="center"/>
    </xf>
    <xf numFmtId="166" fontId="46" fillId="5" borderId="0" xfId="0" applyNumberFormat="1" applyFont="1" applyFill="1" applyAlignment="1">
      <alignment horizontal="center" vertical="center"/>
    </xf>
    <xf numFmtId="1" fontId="47" fillId="5" borderId="0" xfId="0" applyNumberFormat="1" applyFont="1" applyFill="1" applyAlignment="1">
      <alignment horizontal="center" vertical="center"/>
    </xf>
    <xf numFmtId="1" fontId="48" fillId="5" borderId="0" xfId="0" applyNumberFormat="1" applyFont="1" applyFill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" fontId="50" fillId="5" borderId="0" xfId="0" applyNumberFormat="1" applyFont="1" applyFill="1" applyAlignment="1">
      <alignment horizontal="center" vertical="center"/>
    </xf>
    <xf numFmtId="166" fontId="6" fillId="10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 indent="1"/>
    </xf>
    <xf numFmtId="0" fontId="8" fillId="3" borderId="5" xfId="0" applyFont="1" applyFill="1" applyBorder="1" applyAlignment="1">
      <alignment horizontal="center" vertical="center" wrapText="1"/>
    </xf>
    <xf numFmtId="169" fontId="21" fillId="10" borderId="0" xfId="0" applyNumberFormat="1" applyFont="1" applyFill="1" applyAlignment="1">
      <alignment horizontal="center" vertical="center"/>
    </xf>
    <xf numFmtId="169" fontId="6" fillId="10" borderId="0" xfId="0" applyNumberFormat="1" applyFont="1" applyFill="1" applyAlignment="1">
      <alignment horizontal="center" vertical="center"/>
    </xf>
    <xf numFmtId="167" fontId="6" fillId="10" borderId="0" xfId="0" applyNumberFormat="1" applyFont="1" applyFill="1" applyAlignment="1">
      <alignment horizontal="center" vertical="center"/>
    </xf>
    <xf numFmtId="0" fontId="44" fillId="10" borderId="0" xfId="0" applyFont="1" applyFill="1" applyAlignment="1">
      <alignment horizontal="left" vertical="center" indent="1" wrapText="1"/>
    </xf>
    <xf numFmtId="169" fontId="21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0" fontId="44" fillId="5" borderId="0" xfId="0" applyFont="1" applyFill="1" applyAlignment="1">
      <alignment horizontal="left" vertical="center" indent="1" wrapText="1"/>
    </xf>
    <xf numFmtId="1" fontId="51" fillId="5" borderId="0" xfId="0" applyNumberFormat="1" applyFont="1" applyFill="1" applyAlignment="1">
      <alignment horizontal="center" vertical="center"/>
    </xf>
    <xf numFmtId="1" fontId="52" fillId="5" borderId="0" xfId="0" applyNumberFormat="1" applyFont="1" applyFill="1" applyAlignment="1">
      <alignment horizontal="center" vertical="center"/>
    </xf>
    <xf numFmtId="1" fontId="53" fillId="5" borderId="0" xfId="0" applyNumberFormat="1" applyFont="1" applyFill="1" applyAlignment="1">
      <alignment horizontal="center" vertical="center"/>
    </xf>
    <xf numFmtId="1" fontId="54" fillId="5" borderId="0" xfId="0" applyNumberFormat="1" applyFont="1" applyFill="1" applyAlignment="1">
      <alignment horizontal="center" vertical="center"/>
    </xf>
    <xf numFmtId="165" fontId="55" fillId="5" borderId="0" xfId="0" applyNumberFormat="1" applyFont="1" applyFill="1" applyAlignment="1">
      <alignment horizontal="center" vertical="center"/>
    </xf>
    <xf numFmtId="166" fontId="56" fillId="5" borderId="0" xfId="0" applyNumberFormat="1" applyFont="1" applyFill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8" fillId="2" borderId="5" xfId="0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58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indent="1" wrapText="1"/>
    </xf>
    <xf numFmtId="167" fontId="21" fillId="17" borderId="4" xfId="0" applyNumberFormat="1" applyFont="1" applyFill="1" applyBorder="1" applyAlignment="1" applyProtection="1">
      <alignment horizontal="left" vertical="center" indent="1"/>
      <protection locked="0"/>
    </xf>
    <xf numFmtId="0" fontId="8" fillId="2" borderId="0" xfId="0" applyFont="1" applyFill="1" applyAlignment="1">
      <alignment horizontal="left" vertical="center" indent="1"/>
    </xf>
    <xf numFmtId="0" fontId="6" fillId="0" borderId="0" xfId="0" applyFont="1" applyAlignment="1">
      <alignment horizontal="left" vertical="center" indent="1" wrapText="1"/>
    </xf>
    <xf numFmtId="0" fontId="59" fillId="0" borderId="0" xfId="0" applyFont="1" applyAlignment="1">
      <alignment horizontal="left" vertical="center" indent="1"/>
    </xf>
    <xf numFmtId="0" fontId="21" fillId="0" borderId="7" xfId="0" applyFont="1" applyBorder="1" applyAlignment="1">
      <alignment horizontal="left" vertical="center" indent="1"/>
    </xf>
    <xf numFmtId="0" fontId="21" fillId="0" borderId="7" xfId="0" applyFont="1" applyBorder="1" applyAlignment="1">
      <alignment horizontal="center" vertical="center"/>
    </xf>
    <xf numFmtId="0" fontId="60" fillId="0" borderId="0" xfId="0" applyFont="1" applyAlignment="1">
      <alignment horizontal="left" vertical="center" indent="1"/>
    </xf>
    <xf numFmtId="0" fontId="8" fillId="6" borderId="0" xfId="0" applyFont="1" applyFill="1" applyAlignment="1">
      <alignment horizontal="left" vertical="center" indent="1"/>
    </xf>
    <xf numFmtId="0" fontId="8" fillId="6" borderId="0" xfId="0" applyFont="1" applyFill="1" applyAlignment="1">
      <alignment horizontal="center" vertical="center"/>
    </xf>
    <xf numFmtId="0" fontId="44" fillId="0" borderId="0" xfId="0" applyFont="1" applyAlignment="1">
      <alignment horizontal="left" vertical="center" indent="1"/>
    </xf>
    <xf numFmtId="0" fontId="44" fillId="0" borderId="2" xfId="0" applyFont="1" applyBorder="1" applyAlignment="1">
      <alignment horizontal="left" vertical="center" indent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9" fillId="19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19" fillId="9" borderId="0" xfId="0" applyFont="1" applyFill="1" applyAlignment="1">
      <alignment horizontal="center" vertical="center"/>
    </xf>
    <xf numFmtId="0" fontId="19" fillId="20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center" vertical="center"/>
    </xf>
    <xf numFmtId="0" fontId="19" fillId="26" borderId="0" xfId="0" applyFont="1" applyFill="1" applyAlignment="1">
      <alignment horizontal="center" vertical="center"/>
    </xf>
    <xf numFmtId="0" fontId="19" fillId="27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0" fontId="62" fillId="23" borderId="8" xfId="0" applyFont="1" applyFill="1" applyBorder="1" applyAlignment="1">
      <alignment horizontal="center" vertical="center" wrapText="1"/>
    </xf>
    <xf numFmtId="0" fontId="62" fillId="25" borderId="8" xfId="0" applyFont="1" applyFill="1" applyBorder="1" applyAlignment="1">
      <alignment horizontal="center" vertical="center" wrapText="1"/>
    </xf>
    <xf numFmtId="0" fontId="62" fillId="24" borderId="8" xfId="0" applyFont="1" applyFill="1" applyBorder="1" applyAlignment="1">
      <alignment horizontal="center" vertical="center" wrapText="1"/>
    </xf>
    <xf numFmtId="0" fontId="62" fillId="21" borderId="8" xfId="0" applyFont="1" applyFill="1" applyBorder="1" applyAlignment="1">
      <alignment horizontal="center" vertical="center" wrapText="1"/>
    </xf>
    <xf numFmtId="0" fontId="4" fillId="29" borderId="8" xfId="0" applyFont="1" applyFill="1" applyBorder="1" applyAlignment="1">
      <alignment horizontal="center" vertical="center" wrapText="1"/>
    </xf>
    <xf numFmtId="0" fontId="62" fillId="27" borderId="8" xfId="0" applyFont="1" applyFill="1" applyBorder="1" applyAlignment="1">
      <alignment horizontal="center" vertical="center" wrapText="1"/>
    </xf>
    <xf numFmtId="0" fontId="62" fillId="26" borderId="8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vertical="center"/>
    </xf>
    <xf numFmtId="0" fontId="63" fillId="30" borderId="0" xfId="0" applyFont="1" applyFill="1" applyAlignment="1">
      <alignment horizontal="center" vertical="center"/>
    </xf>
    <xf numFmtId="0" fontId="62" fillId="19" borderId="8" xfId="0" applyFont="1" applyFill="1" applyBorder="1" applyAlignment="1">
      <alignment horizontal="center" vertical="center" wrapText="1"/>
    </xf>
    <xf numFmtId="0" fontId="62" fillId="22" borderId="8" xfId="0" applyFont="1" applyFill="1" applyBorder="1" applyAlignment="1">
      <alignment horizontal="center" vertical="center" wrapText="1"/>
    </xf>
    <xf numFmtId="0" fontId="62" fillId="9" borderId="8" xfId="0" applyFont="1" applyFill="1" applyBorder="1" applyAlignment="1">
      <alignment horizontal="center" vertical="center" wrapText="1"/>
    </xf>
    <xf numFmtId="0" fontId="62" fillId="28" borderId="8" xfId="0" applyFont="1" applyFill="1" applyBorder="1" applyAlignment="1">
      <alignment horizontal="center" vertical="center" wrapText="1"/>
    </xf>
    <xf numFmtId="0" fontId="62" fillId="20" borderId="8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0" fillId="17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45">
    <dxf>
      <font>
        <color rgb="FFC55A11"/>
      </font>
    </dxf>
    <dxf>
      <font>
        <b/>
        <color rgb="FF006100"/>
      </font>
    </dxf>
    <dxf>
      <font>
        <b/>
        <color rgb="FFC00000"/>
      </font>
    </dxf>
    <dxf>
      <font>
        <b/>
        <color rgb="FFC55A1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5700"/>
      </font>
      <fill>
        <patternFill>
          <bgColor rgb="FFFFEB9C"/>
        </patternFill>
      </fill>
    </dxf>
    <dxf>
      <font>
        <b/>
        <color rgb="FF404040"/>
      </font>
      <fill>
        <patternFill>
          <bgColor rgb="FFD9D9D9"/>
        </patternFill>
      </fill>
    </dxf>
    <dxf/>
    <dxf>
      <numFmt numFmtId="167" formatCode="dd/mm/yyyy"/>
    </dxf>
    <dxf>
      <numFmt numFmtId="168" formatCode="hh:mm"/>
    </dxf>
    <dxf>
      <numFmt numFmtId="169" formatCode="0.0"/>
    </dxf>
    <dxf/>
    <dxf/>
    <dxf/>
    <dxf/>
    <dxf>
      <numFmt numFmtId="1" formatCode="0"/>
    </dxf>
    <dxf>
      <numFmt numFmtId="166" formatCode="0%"/>
    </dxf>
    <dxf>
      <font>
        <color rgb="FF404040"/>
      </font>
      <fill>
        <patternFill>
          <bgColor rgb="FFD9D9D9"/>
        </patternFill>
      </fill>
    </dxf>
    <dxf>
      <numFmt numFmtId="167" formatCode="dd/mm/yyyy"/>
    </dxf>
    <dxf>
      <numFmt numFmtId="168" formatCode="hh:mm"/>
    </dxf>
    <dxf>
      <numFmt numFmtId="170" formatCode="dd/mm/yyyy hh:mm"/>
    </dxf>
    <dxf>
      <numFmt numFmtId="169" formatCode="0.0"/>
    </dxf>
    <dxf>
      <font>
        <color rgb="FFA6A6A6"/>
      </font>
    </dxf>
    <dxf>
      <font>
        <color rgb="FF1F3864"/>
      </font>
      <fill>
        <patternFill>
          <bgColor rgb="FFDDEBF7"/>
        </patternFill>
      </fill>
    </dxf>
    <dxf>
      <font>
        <b/>
        <color rgb="FFFFFFFF"/>
      </font>
      <fill>
        <patternFill>
          <bgColor rgb="FFC00000"/>
        </patternFill>
      </fill>
    </dxf>
    <dxf>
      <font>
        <b/>
        <color rgb="FF843C0C"/>
      </font>
      <fill>
        <patternFill>
          <bgColor rgb="FFF4B183"/>
        </patternFill>
      </fill>
    </dxf>
    <dxf>
      <font>
        <color rgb="FFD9D9D9"/>
      </font>
    </dxf>
    <dxf>
      <font>
        <b/>
      </font>
    </dxf>
    <dxf>
      <font>
        <color rgb="FF2E75B6"/>
      </font>
    </dxf>
    <dxf>
      <numFmt numFmtId="171" formatCode="00 00 00 00 00"/>
    </dxf>
    <dxf>
      <font>
        <b/>
      </font>
    </dxf>
    <dxf>
      <font>
        <b/>
      </font>
    </dxf>
    <dxf/>
    <dxf/>
    <dxf/>
    <dxf/>
    <dxf>
      <font>
        <color rgb="FF595959"/>
      </font>
    </dxf>
    <dxf>
      <font>
        <color rgb="FF595959"/>
      </font>
    </dxf>
    <dxf>
      <numFmt numFmtId="168" formatCode="hh:mm"/>
    </dxf>
    <dxf>
      <numFmt numFmtId="169" formatCode="0.0"/>
    </dxf>
    <dxf>
      <font>
        <color rgb="FFA6A6A6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microsoft.com/office/2006/relationships/vbaProject" Target="vbaProject.bin"/><Relationship Id="rId23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1F3864"/>
                </a:solidFill>
              </a:defRPr>
            </a:pPr>
            <a:r>
              <a:rPr lang="en-US" sz="1000" b="1" baseline="0">
                <a:solidFill>
                  <a:srgbClr val="1F3864"/>
                </a:solidFill>
              </a:rPr>
              <a:t>Avancement des matières (heures faites / prévues)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Avancement</c:v>
          </c:tx>
          <c:spPr>
            <a:solidFill>
              <a:srgbClr val="2E75B6"/>
            </a:solidFill>
            <a:ln>
              <a:noFill/>
            </a:ln>
          </c:spPr>
          <c:dLbls>
            <c:numFmt formatCode="0%" sourceLinked="0"/>
            <c:txPr>
              <a:bodyPr/>
              <a:lstStyle/>
              <a:p>
                <a:pPr>
                  <a:defRPr sz="800" baseline="0">
                    <a:solidFill>
                      <a:srgbClr val="595959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'SUIVI ENSEIGNANTS'!$C$7:$C$17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'SUIVI ENSEIGNANTS'!$K$7:$K$17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60"/>
        <c:axId val="50010001"/>
        <c:axId val="50010002"/>
      </c:barChart>
      <c:catAx>
        <c:axId val="50010001"/>
        <c:scaling>
          <c:orientation val="maxMin"/>
        </c:scaling>
        <c:axPos val="l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E7E6E6"/>
              </a:solidFill>
            </a:ln>
          </c:spPr>
        </c:majorGridlines>
        <c:numFmt formatCode="0%" sourceLinked="0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</c:plotArea>
    <c:plotVisOnly val="1"/>
  </c:chart>
  <c:spPr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hyperlink" Target="#'COURS DU JOUR'!A1"/><Relationship Id="rId3" Type="http://schemas.openxmlformats.org/officeDocument/2006/relationships/hyperlink" Target="#'CAHIER DE TEXTE'!A1"/><Relationship Id="rId4" Type="http://schemas.openxmlformats.org/officeDocument/2006/relationships/hyperlink" Target="#'PR&#201;SENCES'!A1"/><Relationship Id="rId5" Type="http://schemas.openxmlformats.org/officeDocument/2006/relationships/hyperlink" Target="#'EXPOS&#201;S'!A1"/><Relationship Id="rId6" Type="http://schemas.openxmlformats.org/officeDocument/2006/relationships/hyperlink" Target="#'RAPPORTS'!A1"/><Relationship Id="rId7" Type="http://schemas.openxmlformats.org/officeDocument/2006/relationships/hyperlink" Target="#'REMISES'!A1"/><Relationship Id="rId8" Type="http://schemas.openxmlformats.org/officeDocument/2006/relationships/hyperlink" Target="#'FICHE &#201;TUDIANT'!A1"/><Relationship Id="rId9" Type="http://schemas.openxmlformats.org/officeDocument/2006/relationships/hyperlink" Target="#'SUIVI ENSEIGNANTS'!A1"/><Relationship Id="rId10" Type="http://schemas.openxmlformats.org/officeDocument/2006/relationships/hyperlink" Target="#'R&#201;CAP ABSENCES'!A1"/><Relationship Id="rId11" Type="http://schemas.openxmlformats.org/officeDocument/2006/relationships/hyperlink" Target="#'EXPORT PDF'!A1"/><Relationship Id="rId12" Type="http://schemas.openxmlformats.org/officeDocument/2006/relationships/hyperlink" Target="#'&#201;TUDIANTS'!A1"/><Relationship Id="rId13" Type="http://schemas.openxmlformats.org/officeDocument/2006/relationships/hyperlink" Target="#'GROUPES'!A1"/><Relationship Id="rId14" Type="http://schemas.openxmlformats.org/officeDocument/2006/relationships/hyperlink" Target="#'MATI&#200;RES'!A1"/><Relationship Id="rId15" Type="http://schemas.openxmlformats.org/officeDocument/2006/relationships/hyperlink" Target="#'EMPLOI DU TEMPS'!A1"/><Relationship Id="rId16" Type="http://schemas.openxmlformats.org/officeDocument/2006/relationships/hyperlink" Target="#'PARAM&#200;TRES'!A1"/><Relationship Id="rId17" Type="http://schemas.openxmlformats.org/officeDocument/2006/relationships/hyperlink" Target="#'MODE D''EMPLOI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CAHIER DE TEXTE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COURS DU JOUR'!A1"/><Relationship Id="rId2" Type="http://schemas.openxmlformats.org/officeDocument/2006/relationships/hyperlink" Target="#'EXPORT PDF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REMISES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RAPPOR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95250</xdr:colOff>
      <xdr:row>27</xdr:row>
      <xdr:rowOff>0</xdr:rowOff>
    </xdr:from>
    <xdr:to>
      <xdr:col>17</xdr:col>
      <xdr:colOff>342900</xdr:colOff>
      <xdr:row>43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19050</xdr:colOff>
      <xdr:row>28</xdr:row>
      <xdr:rowOff>0</xdr:rowOff>
    </xdr:from>
    <xdr:to>
      <xdr:col>2</xdr:col>
      <xdr:colOff>666750</xdr:colOff>
      <xdr:row>30</xdr:row>
      <xdr:rowOff>0</xdr:rowOff>
    </xdr:to>
    <xdr:sp macro="" textlink="">
      <xdr:nvSpPr>
        <xdr:cNvPr id="3" name="TextBox 2" descr="macro:DemarrerCours"/>
        <xdr:cNvSpPr txBox="1"/>
      </xdr:nvSpPr>
      <xdr:spPr>
        <a:xfrm>
          <a:off x="2000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3</xdr:col>
      <xdr:colOff>19050</xdr:colOff>
      <xdr:row>28</xdr:row>
      <xdr:rowOff>0</xdr:rowOff>
    </xdr:from>
    <xdr:to>
      <xdr:col>4</xdr:col>
      <xdr:colOff>666750</xdr:colOff>
      <xdr:row>30</xdr:row>
      <xdr:rowOff>0</xdr:rowOff>
    </xdr:to>
    <xdr:sp macro="" textlink="">
      <xdr:nvSpPr>
        <xdr:cNvPr id="4" name="TextBox 3">
          <a:hlinkClick xmlns:r="http://schemas.openxmlformats.org/officeDocument/2006/relationships" r:id="rId2" tooltip="Aller à COURS DU JOUR"/>
        </xdr:cNvPr>
        <xdr:cNvSpPr txBox="1"/>
      </xdr:nvSpPr>
      <xdr:spPr>
        <a:xfrm>
          <a:off x="17621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 / Appel</a:t>
          </a:r>
        </a:p>
      </xdr:txBody>
    </xdr:sp>
    <xdr:clientData/>
  </xdr:twoCellAnchor>
  <xdr:twoCellAnchor editAs="absolute">
    <xdr:from>
      <xdr:col>5</xdr:col>
      <xdr:colOff>19050</xdr:colOff>
      <xdr:row>28</xdr:row>
      <xdr:rowOff>0</xdr:rowOff>
    </xdr:from>
    <xdr:to>
      <xdr:col>6</xdr:col>
      <xdr:colOff>666750</xdr:colOff>
      <xdr:row>30</xdr:row>
      <xdr:rowOff>0</xdr:rowOff>
    </xdr:to>
    <xdr:sp macro="" textlink="">
      <xdr:nvSpPr>
        <xdr:cNvPr id="5" name="TextBox 4">
          <a:hlinkClick xmlns:r="http://schemas.openxmlformats.org/officeDocument/2006/relationships" r:id="rId3" tooltip="Aller à CAHIER DE TEXTE"/>
        </xdr:cNvPr>
        <xdr:cNvSpPr txBox="1"/>
      </xdr:nvSpPr>
      <xdr:spPr>
        <a:xfrm>
          <a:off x="33242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  <xdr:twoCellAnchor editAs="absolute">
    <xdr:from>
      <xdr:col>7</xdr:col>
      <xdr:colOff>19050</xdr:colOff>
      <xdr:row>28</xdr:row>
      <xdr:rowOff>0</xdr:rowOff>
    </xdr:from>
    <xdr:to>
      <xdr:col>8</xdr:col>
      <xdr:colOff>666750</xdr:colOff>
      <xdr:row>30</xdr:row>
      <xdr:rowOff>0</xdr:rowOff>
    </xdr:to>
    <xdr:sp macro="" textlink="">
      <xdr:nvSpPr>
        <xdr:cNvPr id="6" name="TextBox 5">
          <a:hlinkClick xmlns:r="http://schemas.openxmlformats.org/officeDocument/2006/relationships" r:id="rId4" tooltip="Aller à PRÉSENCES"/>
        </xdr:cNvPr>
        <xdr:cNvSpPr txBox="1"/>
      </xdr:nvSpPr>
      <xdr:spPr>
        <a:xfrm>
          <a:off x="48863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Présences</a:t>
          </a:r>
        </a:p>
      </xdr:txBody>
    </xdr:sp>
    <xdr:clientData/>
  </xdr:twoCellAnchor>
  <xdr:twoCellAnchor editAs="absolute">
    <xdr:from>
      <xdr:col>1</xdr:col>
      <xdr:colOff>19050</xdr:colOff>
      <xdr:row>31</xdr:row>
      <xdr:rowOff>0</xdr:rowOff>
    </xdr:from>
    <xdr:to>
      <xdr:col>2</xdr:col>
      <xdr:colOff>666750</xdr:colOff>
      <xdr:row>33</xdr:row>
      <xdr:rowOff>0</xdr:rowOff>
    </xdr:to>
    <xdr:sp macro="" textlink="">
      <xdr:nvSpPr>
        <xdr:cNvPr id="7" name="TextBox 6">
          <a:hlinkClick xmlns:r="http://schemas.openxmlformats.org/officeDocument/2006/relationships" r:id="rId5" tooltip="Aller à EXPOSÉS"/>
        </xdr:cNvPr>
        <xdr:cNvSpPr txBox="1"/>
      </xdr:nvSpPr>
      <xdr:spPr>
        <a:xfrm>
          <a:off x="2000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🎤  Exposés</a:t>
          </a:r>
        </a:p>
      </xdr:txBody>
    </xdr:sp>
    <xdr:clientData/>
  </xdr:twoCellAnchor>
  <xdr:twoCellAnchor editAs="absolute">
    <xdr:from>
      <xdr:col>3</xdr:col>
      <xdr:colOff>19050</xdr:colOff>
      <xdr:row>31</xdr:row>
      <xdr:rowOff>0</xdr:rowOff>
    </xdr:from>
    <xdr:to>
      <xdr:col>4</xdr:col>
      <xdr:colOff>666750</xdr:colOff>
      <xdr:row>33</xdr:row>
      <xdr:rowOff>0</xdr:rowOff>
    </xdr:to>
    <xdr:sp macro="" textlink="">
      <xdr:nvSpPr>
        <xdr:cNvPr id="8" name="TextBox 7">
          <a:hlinkClick xmlns:r="http://schemas.openxmlformats.org/officeDocument/2006/relationships" r:id="rId6" tooltip="Aller à RAPPORTS"/>
        </xdr:cNvPr>
        <xdr:cNvSpPr txBox="1"/>
      </xdr:nvSpPr>
      <xdr:spPr>
        <a:xfrm>
          <a:off x="17621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 Rapports</a:t>
          </a:r>
        </a:p>
      </xdr:txBody>
    </xdr:sp>
    <xdr:clientData/>
  </xdr:twoCellAnchor>
  <xdr:twoCellAnchor editAs="absolute">
    <xdr:from>
      <xdr:col>5</xdr:col>
      <xdr:colOff>19050</xdr:colOff>
      <xdr:row>31</xdr:row>
      <xdr:rowOff>0</xdr:rowOff>
    </xdr:from>
    <xdr:to>
      <xdr:col>6</xdr:col>
      <xdr:colOff>666750</xdr:colOff>
      <xdr:row>33</xdr:row>
      <xdr:rowOff>0</xdr:rowOff>
    </xdr:to>
    <xdr:sp macro="" textlink="">
      <xdr:nvSpPr>
        <xdr:cNvPr id="9" name="TextBox 8">
          <a:hlinkClick xmlns:r="http://schemas.openxmlformats.org/officeDocument/2006/relationships" r:id="rId7" tooltip="Aller à REMISES"/>
        </xdr:cNvPr>
        <xdr:cNvSpPr txBox="1"/>
      </xdr:nvSpPr>
      <xdr:spPr>
        <a:xfrm>
          <a:off x="33242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Remises</a:t>
          </a:r>
        </a:p>
      </xdr:txBody>
    </xdr:sp>
    <xdr:clientData/>
  </xdr:twoCellAnchor>
  <xdr:twoCellAnchor editAs="absolute">
    <xdr:from>
      <xdr:col>7</xdr:col>
      <xdr:colOff>19050</xdr:colOff>
      <xdr:row>31</xdr:row>
      <xdr:rowOff>0</xdr:rowOff>
    </xdr:from>
    <xdr:to>
      <xdr:col>8</xdr:col>
      <xdr:colOff>666750</xdr:colOff>
      <xdr:row>33</xdr:row>
      <xdr:rowOff>0</xdr:rowOff>
    </xdr:to>
    <xdr:sp macro="" textlink="">
      <xdr:nvSpPr>
        <xdr:cNvPr id="10" name="TextBox 9">
          <a:hlinkClick xmlns:r="http://schemas.openxmlformats.org/officeDocument/2006/relationships" r:id="rId8" tooltip="Aller à FICHE ÉTUDIANT"/>
        </xdr:cNvPr>
        <xdr:cNvSpPr txBox="1"/>
      </xdr:nvSpPr>
      <xdr:spPr>
        <a:xfrm>
          <a:off x="4886325" y="69151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🔍  Fiche étudiant</a:t>
          </a:r>
        </a:p>
      </xdr:txBody>
    </xdr:sp>
    <xdr:clientData/>
  </xdr:twoCellAnchor>
  <xdr:twoCellAnchor editAs="absolute">
    <xdr:from>
      <xdr:col>1</xdr:col>
      <xdr:colOff>19050</xdr:colOff>
      <xdr:row>34</xdr:row>
      <xdr:rowOff>0</xdr:rowOff>
    </xdr:from>
    <xdr:to>
      <xdr:col>2</xdr:col>
      <xdr:colOff>666750</xdr:colOff>
      <xdr:row>36</xdr:row>
      <xdr:rowOff>0</xdr:rowOff>
    </xdr:to>
    <xdr:sp macro="" textlink="">
      <xdr:nvSpPr>
        <xdr:cNvPr id="11" name="TextBox 10">
          <a:hlinkClick xmlns:r="http://schemas.openxmlformats.org/officeDocument/2006/relationships" r:id="rId9" tooltip="Aller à SUIVI ENSEIGNANTS"/>
        </xdr:cNvPr>
        <xdr:cNvSpPr txBox="1"/>
      </xdr:nvSpPr>
      <xdr:spPr>
        <a:xfrm>
          <a:off x="2000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👤  Suivi enseignants</a:t>
          </a:r>
        </a:p>
      </xdr:txBody>
    </xdr:sp>
    <xdr:clientData/>
  </xdr:twoCellAnchor>
  <xdr:twoCellAnchor editAs="absolute">
    <xdr:from>
      <xdr:col>3</xdr:col>
      <xdr:colOff>19050</xdr:colOff>
      <xdr:row>34</xdr:row>
      <xdr:rowOff>0</xdr:rowOff>
    </xdr:from>
    <xdr:to>
      <xdr:col>4</xdr:col>
      <xdr:colOff>666750</xdr:colOff>
      <xdr:row>36</xdr:row>
      <xdr:rowOff>0</xdr:rowOff>
    </xdr:to>
    <xdr:sp macro="" textlink="">
      <xdr:nvSpPr>
        <xdr:cNvPr id="12" name="TextBox 11">
          <a:hlinkClick xmlns:r="http://schemas.openxmlformats.org/officeDocument/2006/relationships" r:id="rId10" tooltip="Aller à RÉCAP ABSENCES"/>
        </xdr:cNvPr>
        <xdr:cNvSpPr txBox="1"/>
      </xdr:nvSpPr>
      <xdr:spPr>
        <a:xfrm>
          <a:off x="17621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⚠  Récap absences</a:t>
          </a:r>
        </a:p>
      </xdr:txBody>
    </xdr:sp>
    <xdr:clientData/>
  </xdr:twoCellAnchor>
  <xdr:twoCellAnchor editAs="absolute">
    <xdr:from>
      <xdr:col>5</xdr:col>
      <xdr:colOff>19050</xdr:colOff>
      <xdr:row>34</xdr:row>
      <xdr:rowOff>0</xdr:rowOff>
    </xdr:from>
    <xdr:to>
      <xdr:col>6</xdr:col>
      <xdr:colOff>666750</xdr:colOff>
      <xdr:row>36</xdr:row>
      <xdr:rowOff>0</xdr:rowOff>
    </xdr:to>
    <xdr:sp macro="" textlink="">
      <xdr:nvSpPr>
        <xdr:cNvPr id="13" name="TextBox 12">
          <a:hlinkClick xmlns:r="http://schemas.openxmlformats.org/officeDocument/2006/relationships" r:id="rId11" tooltip="Aller à EXPORT PDF"/>
        </xdr:cNvPr>
        <xdr:cNvSpPr txBox="1"/>
      </xdr:nvSpPr>
      <xdr:spPr>
        <a:xfrm>
          <a:off x="33242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7</xdr:col>
      <xdr:colOff>19050</xdr:colOff>
      <xdr:row>34</xdr:row>
      <xdr:rowOff>0</xdr:rowOff>
    </xdr:from>
    <xdr:to>
      <xdr:col>8</xdr:col>
      <xdr:colOff>666750</xdr:colOff>
      <xdr:row>36</xdr:row>
      <xdr:rowOff>0</xdr:rowOff>
    </xdr:to>
    <xdr:sp macro="" textlink="">
      <xdr:nvSpPr>
        <xdr:cNvPr id="14" name="TextBox 13">
          <a:hlinkClick xmlns:r="http://schemas.openxmlformats.org/officeDocument/2006/relationships" r:id="rId12" tooltip="Aller à ÉTUDIANTS"/>
        </xdr:cNvPr>
        <xdr:cNvSpPr txBox="1"/>
      </xdr:nvSpPr>
      <xdr:spPr>
        <a:xfrm>
          <a:off x="4886325" y="74866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👥  Étudiants</a:t>
          </a:r>
        </a:p>
      </xdr:txBody>
    </xdr:sp>
    <xdr:clientData/>
  </xdr:twoCellAnchor>
  <xdr:twoCellAnchor editAs="absolute">
    <xdr:from>
      <xdr:col>1</xdr:col>
      <xdr:colOff>19050</xdr:colOff>
      <xdr:row>37</xdr:row>
      <xdr:rowOff>0</xdr:rowOff>
    </xdr:from>
    <xdr:to>
      <xdr:col>2</xdr:col>
      <xdr:colOff>666750</xdr:colOff>
      <xdr:row>39</xdr:row>
      <xdr:rowOff>0</xdr:rowOff>
    </xdr:to>
    <xdr:sp macro="" textlink="">
      <xdr:nvSpPr>
        <xdr:cNvPr id="15" name="TextBox 14">
          <a:hlinkClick xmlns:r="http://schemas.openxmlformats.org/officeDocument/2006/relationships" r:id="rId13" tooltip="Aller à GROUPES"/>
        </xdr:cNvPr>
        <xdr:cNvSpPr txBox="1"/>
      </xdr:nvSpPr>
      <xdr:spPr>
        <a:xfrm>
          <a:off x="2000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🧩  Groupes</a:t>
          </a:r>
        </a:p>
      </xdr:txBody>
    </xdr:sp>
    <xdr:clientData/>
  </xdr:twoCellAnchor>
  <xdr:twoCellAnchor editAs="absolute">
    <xdr:from>
      <xdr:col>3</xdr:col>
      <xdr:colOff>19050</xdr:colOff>
      <xdr:row>37</xdr:row>
      <xdr:rowOff>0</xdr:rowOff>
    </xdr:from>
    <xdr:to>
      <xdr:col>4</xdr:col>
      <xdr:colOff>666750</xdr:colOff>
      <xdr:row>39</xdr:row>
      <xdr:rowOff>0</xdr:rowOff>
    </xdr:to>
    <xdr:sp macro="" textlink="">
      <xdr:nvSpPr>
        <xdr:cNvPr id="16" name="TextBox 15">
          <a:hlinkClick xmlns:r="http://schemas.openxmlformats.org/officeDocument/2006/relationships" r:id="rId14" tooltip="Aller à MATIÈRES"/>
        </xdr:cNvPr>
        <xdr:cNvSpPr txBox="1"/>
      </xdr:nvSpPr>
      <xdr:spPr>
        <a:xfrm>
          <a:off x="17621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📚  Matières</a:t>
          </a:r>
        </a:p>
      </xdr:txBody>
    </xdr:sp>
    <xdr:clientData/>
  </xdr:twoCellAnchor>
  <xdr:twoCellAnchor editAs="absolute">
    <xdr:from>
      <xdr:col>5</xdr:col>
      <xdr:colOff>19050</xdr:colOff>
      <xdr:row>37</xdr:row>
      <xdr:rowOff>0</xdr:rowOff>
    </xdr:from>
    <xdr:to>
      <xdr:col>6</xdr:col>
      <xdr:colOff>666750</xdr:colOff>
      <xdr:row>39</xdr:row>
      <xdr:rowOff>0</xdr:rowOff>
    </xdr:to>
    <xdr:sp macro="" textlink="">
      <xdr:nvSpPr>
        <xdr:cNvPr id="17" name="TextBox 16">
          <a:hlinkClick xmlns:r="http://schemas.openxmlformats.org/officeDocument/2006/relationships" r:id="rId15" tooltip="Aller à EMPLOI DU TEMPS"/>
        </xdr:cNvPr>
        <xdr:cNvSpPr txBox="1"/>
      </xdr:nvSpPr>
      <xdr:spPr>
        <a:xfrm>
          <a:off x="33242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🗓  Emploi du temps</a:t>
          </a:r>
        </a:p>
      </xdr:txBody>
    </xdr:sp>
    <xdr:clientData/>
  </xdr:twoCellAnchor>
  <xdr:twoCellAnchor editAs="absolute">
    <xdr:from>
      <xdr:col>7</xdr:col>
      <xdr:colOff>19050</xdr:colOff>
      <xdr:row>37</xdr:row>
      <xdr:rowOff>0</xdr:rowOff>
    </xdr:from>
    <xdr:to>
      <xdr:col>8</xdr:col>
      <xdr:colOff>666750</xdr:colOff>
      <xdr:row>39</xdr:row>
      <xdr:rowOff>0</xdr:rowOff>
    </xdr:to>
    <xdr:sp macro="" textlink="">
      <xdr:nvSpPr>
        <xdr:cNvPr id="18" name="TextBox 17">
          <a:hlinkClick xmlns:r="http://schemas.openxmlformats.org/officeDocument/2006/relationships" r:id="rId16" tooltip="Aller à PARAMÈTRES"/>
        </xdr:cNvPr>
        <xdr:cNvSpPr txBox="1"/>
      </xdr:nvSpPr>
      <xdr:spPr>
        <a:xfrm>
          <a:off x="48863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⚙  Paramètres</a:t>
          </a:r>
        </a:p>
      </xdr:txBody>
    </xdr:sp>
    <xdr:clientData/>
  </xdr:twoCellAnchor>
  <xdr:twoCellAnchor editAs="absolute">
    <xdr:from>
      <xdr:col>1</xdr:col>
      <xdr:colOff>19050</xdr:colOff>
      <xdr:row>40</xdr:row>
      <xdr:rowOff>0</xdr:rowOff>
    </xdr:from>
    <xdr:to>
      <xdr:col>2</xdr:col>
      <xdr:colOff>666750</xdr:colOff>
      <xdr:row>42</xdr:row>
      <xdr:rowOff>0</xdr:rowOff>
    </xdr:to>
    <xdr:sp macro="" textlink="">
      <xdr:nvSpPr>
        <xdr:cNvPr id="19" name="TextBox 18" descr="macro:Sauvegarder"/>
        <xdr:cNvSpPr txBox="1"/>
      </xdr:nvSpPr>
      <xdr:spPr>
        <a:xfrm>
          <a:off x="2000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💾  Sauvegarder (copie datée)</a:t>
          </a:r>
        </a:p>
      </xdr:txBody>
    </xdr:sp>
    <xdr:clientData/>
  </xdr:twoCellAnchor>
  <xdr:twoCellAnchor editAs="absolute">
    <xdr:from>
      <xdr:col>3</xdr:col>
      <xdr:colOff>19050</xdr:colOff>
      <xdr:row>40</xdr:row>
      <xdr:rowOff>0</xdr:rowOff>
    </xdr:from>
    <xdr:to>
      <xdr:col>4</xdr:col>
      <xdr:colOff>666750</xdr:colOff>
      <xdr:row>42</xdr:row>
      <xdr:rowOff>0</xdr:rowOff>
    </xdr:to>
    <xdr:sp macro="" textlink="">
      <xdr:nvSpPr>
        <xdr:cNvPr id="20" name="TextBox 19" descr="macro:ModeAdministrateur"/>
        <xdr:cNvSpPr txBox="1"/>
      </xdr:nvSpPr>
      <xdr:spPr>
        <a:xfrm>
          <a:off x="17621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🔒  Mode administrateur</a:t>
          </a:r>
        </a:p>
      </xdr:txBody>
    </xdr:sp>
    <xdr:clientData/>
  </xdr:twoCellAnchor>
  <xdr:twoCellAnchor editAs="absolute">
    <xdr:from>
      <xdr:col>5</xdr:col>
      <xdr:colOff>19050</xdr:colOff>
      <xdr:row>40</xdr:row>
      <xdr:rowOff>0</xdr:rowOff>
    </xdr:from>
    <xdr:to>
      <xdr:col>6</xdr:col>
      <xdr:colOff>666750</xdr:colOff>
      <xdr:row>42</xdr:row>
      <xdr:rowOff>0</xdr:rowOff>
    </xdr:to>
    <xdr:sp macro="" textlink="">
      <xdr:nvSpPr>
        <xdr:cNvPr id="21" name="TextBox 20" descr="macro:Actualiser"/>
        <xdr:cNvSpPr txBox="1"/>
      </xdr:nvSpPr>
      <xdr:spPr>
        <a:xfrm>
          <a:off x="33242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  <xdr:twoCellAnchor editAs="absolute">
    <xdr:from>
      <xdr:col>7</xdr:col>
      <xdr:colOff>19050</xdr:colOff>
      <xdr:row>40</xdr:row>
      <xdr:rowOff>0</xdr:rowOff>
    </xdr:from>
    <xdr:to>
      <xdr:col>8</xdr:col>
      <xdr:colOff>666750</xdr:colOff>
      <xdr:row>42</xdr:row>
      <xdr:rowOff>0</xdr:rowOff>
    </xdr:to>
    <xdr:sp macro="" textlink="">
      <xdr:nvSpPr>
        <xdr:cNvPr id="22" name="TextBox 21">
          <a:hlinkClick xmlns:r="http://schemas.openxmlformats.org/officeDocument/2006/relationships" r:id="rId17" tooltip="Aller à MODE D'EMPLOI"/>
        </xdr:cNvPr>
        <xdr:cNvSpPr txBox="1"/>
      </xdr:nvSpPr>
      <xdr:spPr>
        <a:xfrm>
          <a:off x="4886325" y="8629650"/>
          <a:ext cx="1428750" cy="381000"/>
        </a:xfrm>
        <a:prstGeom prst="rect">
          <a:avLst/>
        </a:prstGeom>
        <a:solidFill>
          <a:srgbClr val="BF9000"/>
        </a:solidFill>
        <a:ln w="12700" cmpd="sng">
          <a:solidFill>
            <a:srgbClr val="BF9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❓  MODE D'EMPLOI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15</xdr:row>
      <xdr:rowOff>38100</xdr:rowOff>
    </xdr:from>
    <xdr:to>
      <xdr:col>2</xdr:col>
      <xdr:colOff>266700</xdr:colOff>
      <xdr:row>15</xdr:row>
      <xdr:rowOff>361950</xdr:rowOff>
    </xdr:to>
    <xdr:sp macro="" textlink="">
      <xdr:nvSpPr>
        <xdr:cNvPr id="2" name="TextBox 1" descr="macro:DemarrerCours"/>
        <xdr:cNvSpPr txBox="1"/>
      </xdr:nvSpPr>
      <xdr:spPr>
        <a:xfrm>
          <a:off x="180975" y="3857625"/>
          <a:ext cx="1714500" cy="3238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2</xdr:col>
      <xdr:colOff>381000</xdr:colOff>
      <xdr:row>15</xdr:row>
      <xdr:rowOff>38100</xdr:rowOff>
    </xdr:from>
    <xdr:to>
      <xdr:col>2</xdr:col>
      <xdr:colOff>1809750</xdr:colOff>
      <xdr:row>15</xdr:row>
      <xdr:rowOff>361950</xdr:rowOff>
    </xdr:to>
    <xdr:sp macro="" textlink="">
      <xdr:nvSpPr>
        <xdr:cNvPr id="3" name="TextBox 2" descr="macro:EnregistrerSeance"/>
        <xdr:cNvSpPr txBox="1"/>
      </xdr:nvSpPr>
      <xdr:spPr>
        <a:xfrm>
          <a:off x="2009775" y="3857625"/>
          <a:ext cx="1428750" cy="3238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ENREGISTRER</a:t>
          </a:r>
        </a:p>
      </xdr:txBody>
    </xdr:sp>
    <xdr:clientData/>
  </xdr:twoCellAnchor>
  <xdr:twoCellAnchor editAs="absolute">
    <xdr:from>
      <xdr:col>2</xdr:col>
      <xdr:colOff>1924050</xdr:colOff>
      <xdr:row>15</xdr:row>
      <xdr:rowOff>38100</xdr:rowOff>
    </xdr:from>
    <xdr:to>
      <xdr:col>5</xdr:col>
      <xdr:colOff>114300</xdr:colOff>
      <xdr:row>15</xdr:row>
      <xdr:rowOff>361950</xdr:rowOff>
    </xdr:to>
    <xdr:sp macro="" textlink="">
      <xdr:nvSpPr>
        <xdr:cNvPr id="4" name="TextBox 3" descr="macro:CloturerSeance"/>
        <xdr:cNvSpPr txBox="1"/>
      </xdr:nvSpPr>
      <xdr:spPr>
        <a:xfrm>
          <a:off x="3552825" y="3857625"/>
          <a:ext cx="2000250" cy="32385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■  CLÔTURER (fin = maintenant)</a:t>
          </a:r>
        </a:p>
      </xdr:txBody>
    </xdr:sp>
    <xdr:clientData/>
  </xdr:twoCellAnchor>
  <xdr:twoCellAnchor editAs="absolute">
    <xdr:from>
      <xdr:col>5</xdr:col>
      <xdr:colOff>228600</xdr:colOff>
      <xdr:row>15</xdr:row>
      <xdr:rowOff>38100</xdr:rowOff>
    </xdr:from>
    <xdr:to>
      <xdr:col>6</xdr:col>
      <xdr:colOff>942975</xdr:colOff>
      <xdr:row>15</xdr:row>
      <xdr:rowOff>361950</xdr:rowOff>
    </xdr:to>
    <xdr:sp macro="" textlink="">
      <xdr:nvSpPr>
        <xdr:cNvPr id="5" name="TextBox 4" descr="macro:TousPresents"/>
        <xdr:cNvSpPr txBox="1"/>
      </xdr:nvSpPr>
      <xdr:spPr>
        <a:xfrm>
          <a:off x="566737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✓  TOUS PRÉSENTS</a:t>
          </a:r>
        </a:p>
      </xdr:txBody>
    </xdr:sp>
    <xdr:clientData/>
  </xdr:twoCellAnchor>
  <xdr:twoCellAnchor editAs="absolute">
    <xdr:from>
      <xdr:col>6</xdr:col>
      <xdr:colOff>1057275</xdr:colOff>
      <xdr:row>15</xdr:row>
      <xdr:rowOff>38100</xdr:rowOff>
    </xdr:from>
    <xdr:to>
      <xdr:col>7</xdr:col>
      <xdr:colOff>533400</xdr:colOff>
      <xdr:row>15</xdr:row>
      <xdr:rowOff>361950</xdr:rowOff>
    </xdr:to>
    <xdr:sp macro="" textlink="">
      <xdr:nvSpPr>
        <xdr:cNvPr id="6" name="TextBox 5" descr="macro:NouvelleSeance"/>
        <xdr:cNvSpPr txBox="1"/>
      </xdr:nvSpPr>
      <xdr:spPr>
        <a:xfrm>
          <a:off x="7210425" y="3857625"/>
          <a:ext cx="1524000" cy="32385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NOUVELLE SÉANCE</a:t>
          </a:r>
        </a:p>
      </xdr:txBody>
    </xdr:sp>
    <xdr:clientData/>
  </xdr:twoCellAnchor>
  <xdr:twoCellAnchor editAs="absolute">
    <xdr:from>
      <xdr:col>7</xdr:col>
      <xdr:colOff>647700</xdr:colOff>
      <xdr:row>15</xdr:row>
      <xdr:rowOff>38100</xdr:rowOff>
    </xdr:from>
    <xdr:to>
      <xdr:col>9</xdr:col>
      <xdr:colOff>514350</xdr:colOff>
      <xdr:row>15</xdr:row>
      <xdr:rowOff>361950</xdr:rowOff>
    </xdr:to>
    <xdr:sp macro="" textlink="">
      <xdr:nvSpPr>
        <xdr:cNvPr id="7" name="TextBox 6">
          <a:hlinkClick xmlns:r="http://schemas.openxmlformats.org/officeDocument/2006/relationships" r:id="rId1" tooltip="Aller à CAHIER DE TEXTE"/>
        </xdr:cNvPr>
        <xdr:cNvSpPr txBox="1"/>
      </xdr:nvSpPr>
      <xdr:spPr>
        <a:xfrm>
          <a:off x="884872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19050</xdr:rowOff>
    </xdr:from>
    <xdr:to>
      <xdr:col>2</xdr:col>
      <xdr:colOff>752475</xdr:colOff>
      <xdr:row>3</xdr:row>
      <xdr:rowOff>266700</xdr:rowOff>
    </xdr:to>
    <xdr:sp macro="" textlink="">
      <xdr:nvSpPr>
        <xdr:cNvPr id="2" name="TextBox 1">
          <a:hlinkClick xmlns:r="http://schemas.openxmlformats.org/officeDocument/2006/relationships" r:id="rId1" tooltip="Aller à COURS DU JOUR"/>
        </xdr:cNvPr>
        <xdr:cNvSpPr txBox="1"/>
      </xdr:nvSpPr>
      <xdr:spPr>
        <a:xfrm>
          <a:off x="180975" y="866775"/>
          <a:ext cx="1333500" cy="2476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</a:t>
          </a:r>
        </a:p>
      </xdr:txBody>
    </xdr:sp>
    <xdr:clientData/>
  </xdr:twoCellAnchor>
  <xdr:twoCellAnchor editAs="absolute">
    <xdr:from>
      <xdr:col>3</xdr:col>
      <xdr:colOff>85725</xdr:colOff>
      <xdr:row>3</xdr:row>
      <xdr:rowOff>19050</xdr:rowOff>
    </xdr:from>
    <xdr:to>
      <xdr:col>5</xdr:col>
      <xdr:colOff>28575</xdr:colOff>
      <xdr:row>3</xdr:row>
      <xdr:rowOff>266700</xdr:rowOff>
    </xdr:to>
    <xdr:sp macro="" textlink="">
      <xdr:nvSpPr>
        <xdr:cNvPr id="3" name="TextBox 2">
          <a:hlinkClick xmlns:r="http://schemas.openxmlformats.org/officeDocument/2006/relationships" r:id="rId2" tooltip="Aller à EXPORT PDF"/>
        </xdr:cNvPr>
        <xdr:cNvSpPr txBox="1"/>
      </xdr:nvSpPr>
      <xdr:spPr>
        <a:xfrm>
          <a:off x="1628775" y="866775"/>
          <a:ext cx="1238250" cy="2476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5</xdr:col>
      <xdr:colOff>142875</xdr:colOff>
      <xdr:row>3</xdr:row>
      <xdr:rowOff>19050</xdr:rowOff>
    </xdr:from>
    <xdr:to>
      <xdr:col>7</xdr:col>
      <xdr:colOff>695325</xdr:colOff>
      <xdr:row>3</xdr:row>
      <xdr:rowOff>266700</xdr:rowOff>
    </xdr:to>
    <xdr:sp macro="" textlink="">
      <xdr:nvSpPr>
        <xdr:cNvPr id="4" name="TextBox 3" descr="macro:SupprimerLignes"/>
        <xdr:cNvSpPr txBox="1"/>
      </xdr:nvSpPr>
      <xdr:spPr>
        <a:xfrm>
          <a:off x="2981325" y="866775"/>
          <a:ext cx="1714500" cy="24765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247650</xdr:colOff>
      <xdr:row>3</xdr:row>
      <xdr:rowOff>9525</xdr:rowOff>
    </xdr:from>
    <xdr:to>
      <xdr:col>4</xdr:col>
      <xdr:colOff>1152525</xdr:colOff>
      <xdr:row>3</xdr:row>
      <xdr:rowOff>276225</xdr:rowOff>
    </xdr:to>
    <xdr:sp macro="" textlink="">
      <xdr:nvSpPr>
        <xdr:cNvPr id="2" name="TextBox 1" descr="macro:GenererExposes"/>
        <xdr:cNvSpPr txBox="1"/>
      </xdr:nvSpPr>
      <xdr:spPr>
        <a:xfrm>
          <a:off x="3324225" y="857250"/>
          <a:ext cx="16192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Une ligne par groupe</a:t>
          </a:r>
        </a:p>
      </xdr:txBody>
    </xdr:sp>
    <xdr:clientData/>
  </xdr:twoCellAnchor>
  <xdr:twoCellAnchor editAs="absolute">
    <xdr:from>
      <xdr:col>4</xdr:col>
      <xdr:colOff>1266825</xdr:colOff>
      <xdr:row>3</xdr:row>
      <xdr:rowOff>9525</xdr:rowOff>
    </xdr:from>
    <xdr:to>
      <xdr:col>5</xdr:col>
      <xdr:colOff>647700</xdr:colOff>
      <xdr:row>3</xdr:row>
      <xdr:rowOff>276225</xdr:rowOff>
    </xdr:to>
    <xdr:sp macro="" textlink="">
      <xdr:nvSpPr>
        <xdr:cNvPr id="3" name="TextBox 2" descr="macro:MarquerPresente"/>
        <xdr:cNvSpPr txBox="1"/>
      </xdr:nvSpPr>
      <xdr:spPr>
        <a:xfrm>
          <a:off x="5057775" y="857250"/>
          <a:ext cx="14287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présenté</a:t>
          </a:r>
        </a:p>
      </xdr:txBody>
    </xdr:sp>
    <xdr:clientData/>
  </xdr:twoCellAnchor>
  <xdr:twoCellAnchor editAs="absolute">
    <xdr:from>
      <xdr:col>5</xdr:col>
      <xdr:colOff>762000</xdr:colOff>
      <xdr:row>3</xdr:row>
      <xdr:rowOff>9525</xdr:rowOff>
    </xdr:from>
    <xdr:to>
      <xdr:col>6</xdr:col>
      <xdr:colOff>723900</xdr:colOff>
      <xdr:row>3</xdr:row>
      <xdr:rowOff>276225</xdr:rowOff>
    </xdr:to>
    <xdr:sp macro="" textlink="">
      <xdr:nvSpPr>
        <xdr:cNvPr id="4" name="TextBox 3" descr="macro:AfficherExposesRestants"/>
        <xdr:cNvSpPr txBox="1"/>
      </xdr:nvSpPr>
      <xdr:spPr>
        <a:xfrm>
          <a:off x="6600825" y="857250"/>
          <a:ext cx="8096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Restants</a:t>
          </a:r>
        </a:p>
      </xdr:txBody>
    </xdr:sp>
    <xdr:clientData/>
  </xdr:twoCellAnchor>
  <xdr:twoCellAnchor editAs="absolute">
    <xdr:from>
      <xdr:col>6</xdr:col>
      <xdr:colOff>838200</xdr:colOff>
      <xdr:row>3</xdr:row>
      <xdr:rowOff>9525</xdr:rowOff>
    </xdr:from>
    <xdr:to>
      <xdr:col>8</xdr:col>
      <xdr:colOff>161925</xdr:colOff>
      <xdr:row>3</xdr:row>
      <xdr:rowOff>276225</xdr:rowOff>
    </xdr:to>
    <xdr:sp macro="" textlink="">
      <xdr:nvSpPr>
        <xdr:cNvPr id="5" name="TextBox 4" descr="macro:ToutAfficherExposes"/>
        <xdr:cNvSpPr txBox="1"/>
      </xdr:nvSpPr>
      <xdr:spPr>
        <a:xfrm>
          <a:off x="7524750" y="857250"/>
          <a:ext cx="95250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8</xdr:col>
      <xdr:colOff>276225</xdr:colOff>
      <xdr:row>3</xdr:row>
      <xdr:rowOff>9525</xdr:rowOff>
    </xdr:from>
    <xdr:to>
      <xdr:col>9</xdr:col>
      <xdr:colOff>390525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859155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504825</xdr:colOff>
      <xdr:row>3</xdr:row>
      <xdr:rowOff>9525</xdr:rowOff>
    </xdr:from>
    <xdr:to>
      <xdr:col>9</xdr:col>
      <xdr:colOff>1457325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9467850" y="857250"/>
          <a:ext cx="95250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161925</xdr:colOff>
      <xdr:row>3</xdr:row>
      <xdr:rowOff>276225</xdr:rowOff>
    </xdr:to>
    <xdr:sp macro="" textlink="">
      <xdr:nvSpPr>
        <xdr:cNvPr id="2" name="TextBox 1" descr="macro:NouveauRapport"/>
        <xdr:cNvSpPr txBox="1"/>
      </xdr:nvSpPr>
      <xdr:spPr>
        <a:xfrm>
          <a:off x="180975" y="857250"/>
          <a:ext cx="152400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Nouveau rapport</a:t>
          </a:r>
        </a:p>
      </xdr:txBody>
    </xdr:sp>
    <xdr:clientData/>
  </xdr:twoCellAnchor>
  <xdr:twoCellAnchor editAs="absolute">
    <xdr:from>
      <xdr:col>3</xdr:col>
      <xdr:colOff>276225</xdr:colOff>
      <xdr:row>3</xdr:row>
      <xdr:rowOff>9525</xdr:rowOff>
    </xdr:from>
    <xdr:to>
      <xdr:col>4</xdr:col>
      <xdr:colOff>1314450</xdr:colOff>
      <xdr:row>3</xdr:row>
      <xdr:rowOff>276225</xdr:rowOff>
    </xdr:to>
    <xdr:sp macro="" textlink="">
      <xdr:nvSpPr>
        <xdr:cNvPr id="3" name="TextBox 2" descr="macro:GenererRemises"/>
        <xdr:cNvSpPr txBox="1"/>
      </xdr:nvSpPr>
      <xdr:spPr>
        <a:xfrm>
          <a:off x="1819275" y="857250"/>
          <a:ext cx="228600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Générer les remises attendues</a:t>
          </a:r>
        </a:p>
      </xdr:txBody>
    </xdr:sp>
    <xdr:clientData/>
  </xdr:twoCellAnchor>
  <xdr:twoCellAnchor editAs="absolute">
    <xdr:from>
      <xdr:col>4</xdr:col>
      <xdr:colOff>1428750</xdr:colOff>
      <xdr:row>3</xdr:row>
      <xdr:rowOff>9525</xdr:rowOff>
    </xdr:from>
    <xdr:to>
      <xdr:col>5</xdr:col>
      <xdr:colOff>409575</xdr:colOff>
      <xdr:row>3</xdr:row>
      <xdr:rowOff>276225</xdr:rowOff>
    </xdr:to>
    <xdr:sp macro="" textlink="">
      <xdr:nvSpPr>
        <xdr:cNvPr id="4" name="TextBox 3">
          <a:hlinkClick xmlns:r="http://schemas.openxmlformats.org/officeDocument/2006/relationships" r:id="rId1" tooltip="Aller à REMISES"/>
        </xdr:cNvPr>
        <xdr:cNvSpPr txBox="1"/>
      </xdr:nvSpPr>
      <xdr:spPr>
        <a:xfrm>
          <a:off x="4219575" y="857250"/>
          <a:ext cx="142875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Feuille REMISES</a:t>
          </a:r>
        </a:p>
      </xdr:txBody>
    </xdr:sp>
    <xdr:clientData/>
  </xdr:twoCellAnchor>
  <xdr:twoCellAnchor editAs="absolute">
    <xdr:from>
      <xdr:col>5</xdr:col>
      <xdr:colOff>523875</xdr:colOff>
      <xdr:row>3</xdr:row>
      <xdr:rowOff>9525</xdr:rowOff>
    </xdr:from>
    <xdr:to>
      <xdr:col>7</xdr:col>
      <xdr:colOff>9525</xdr:colOff>
      <xdr:row>3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5762625" y="857250"/>
          <a:ext cx="1047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438150</xdr:colOff>
      <xdr:row>3</xdr:row>
      <xdr:rowOff>276225</xdr:rowOff>
    </xdr:to>
    <xdr:sp macro="" textlink="">
      <xdr:nvSpPr>
        <xdr:cNvPr id="2" name="TextBox 1" descr="macro:MarquerRemis"/>
        <xdr:cNvSpPr txBox="1"/>
      </xdr:nvSpPr>
      <xdr:spPr>
        <a:xfrm>
          <a:off x="180975" y="857250"/>
          <a:ext cx="20002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remis maintenant</a:t>
          </a:r>
        </a:p>
      </xdr:txBody>
    </xdr:sp>
    <xdr:clientData/>
  </xdr:twoCellAnchor>
  <xdr:twoCellAnchor editAs="absolute">
    <xdr:from>
      <xdr:col>3</xdr:col>
      <xdr:colOff>552450</xdr:colOff>
      <xdr:row>3</xdr:row>
      <xdr:rowOff>9525</xdr:rowOff>
    </xdr:from>
    <xdr:to>
      <xdr:col>3</xdr:col>
      <xdr:colOff>1457325</xdr:colOff>
      <xdr:row>3</xdr:row>
      <xdr:rowOff>276225</xdr:rowOff>
    </xdr:to>
    <xdr:sp macro="" textlink="">
      <xdr:nvSpPr>
        <xdr:cNvPr id="3" name="TextBox 2" descr="macro:AfficherNonRemis"/>
        <xdr:cNvSpPr txBox="1"/>
      </xdr:nvSpPr>
      <xdr:spPr>
        <a:xfrm>
          <a:off x="2295525" y="857250"/>
          <a:ext cx="90487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Non remis</a:t>
          </a:r>
        </a:p>
      </xdr:txBody>
    </xdr:sp>
    <xdr:clientData/>
  </xdr:twoCellAnchor>
  <xdr:twoCellAnchor editAs="absolute">
    <xdr:from>
      <xdr:col>3</xdr:col>
      <xdr:colOff>1571625</xdr:colOff>
      <xdr:row>3</xdr:row>
      <xdr:rowOff>9525</xdr:rowOff>
    </xdr:from>
    <xdr:to>
      <xdr:col>4</xdr:col>
      <xdr:colOff>295275</xdr:colOff>
      <xdr:row>3</xdr:row>
      <xdr:rowOff>276225</xdr:rowOff>
    </xdr:to>
    <xdr:sp macro="" textlink="">
      <xdr:nvSpPr>
        <xdr:cNvPr id="4" name="TextBox 3" descr="macro:AfficherEnRetard"/>
        <xdr:cNvSpPr txBox="1"/>
      </xdr:nvSpPr>
      <xdr:spPr>
        <a:xfrm>
          <a:off x="3314700" y="857250"/>
          <a:ext cx="904875" cy="2667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En retard</a:t>
          </a:r>
        </a:p>
      </xdr:txBody>
    </xdr:sp>
    <xdr:clientData/>
  </xdr:twoCellAnchor>
  <xdr:twoCellAnchor editAs="absolute">
    <xdr:from>
      <xdr:col>4</xdr:col>
      <xdr:colOff>409575</xdr:colOff>
      <xdr:row>3</xdr:row>
      <xdr:rowOff>9525</xdr:rowOff>
    </xdr:from>
    <xdr:to>
      <xdr:col>5</xdr:col>
      <xdr:colOff>695325</xdr:colOff>
      <xdr:row>3</xdr:row>
      <xdr:rowOff>276225</xdr:rowOff>
    </xdr:to>
    <xdr:sp macro="" textlink="">
      <xdr:nvSpPr>
        <xdr:cNvPr id="5" name="TextBox 4" descr="macro:ToutAfficherRemises"/>
        <xdr:cNvSpPr txBox="1"/>
      </xdr:nvSpPr>
      <xdr:spPr>
        <a:xfrm>
          <a:off x="433387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5</xdr:col>
      <xdr:colOff>809625</xdr:colOff>
      <xdr:row>3</xdr:row>
      <xdr:rowOff>9525</xdr:rowOff>
    </xdr:from>
    <xdr:to>
      <xdr:col>5</xdr:col>
      <xdr:colOff>1571625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544830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5</xdr:col>
      <xdr:colOff>1685925</xdr:colOff>
      <xdr:row>3</xdr:row>
      <xdr:rowOff>9525</xdr:rowOff>
    </xdr:from>
    <xdr:to>
      <xdr:col>6</xdr:col>
      <xdr:colOff>638175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6324600" y="8572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  <xdr:twoCellAnchor editAs="absolute">
    <xdr:from>
      <xdr:col>6</xdr:col>
      <xdr:colOff>752475</xdr:colOff>
      <xdr:row>3</xdr:row>
      <xdr:rowOff>9525</xdr:rowOff>
    </xdr:from>
    <xdr:to>
      <xdr:col>7</xdr:col>
      <xdr:colOff>704850</xdr:colOff>
      <xdr:row>3</xdr:row>
      <xdr:rowOff>276225</xdr:rowOff>
    </xdr:to>
    <xdr:sp macro="" textlink="">
      <xdr:nvSpPr>
        <xdr:cNvPr id="8" name="TextBox 7">
          <a:hlinkClick xmlns:r="http://schemas.openxmlformats.org/officeDocument/2006/relationships" r:id="rId1" tooltip="Aller à RAPPORTS"/>
        </xdr:cNvPr>
        <xdr:cNvSpPr txBox="1"/>
      </xdr:nvSpPr>
      <xdr:spPr>
        <a:xfrm>
          <a:off x="743902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Rapports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2028825</xdr:colOff>
      <xdr:row>6</xdr:row>
      <xdr:rowOff>38100</xdr:rowOff>
    </xdr:from>
    <xdr:to>
      <xdr:col>4</xdr:col>
      <xdr:colOff>504825</xdr:colOff>
      <xdr:row>6</xdr:row>
      <xdr:rowOff>266700</xdr:rowOff>
    </xdr:to>
    <xdr:sp macro="" textlink="">
      <xdr:nvSpPr>
        <xdr:cNvPr id="2" name="TextBox 1" descr="macro:ExporterFichePDF"/>
        <xdr:cNvSpPr txBox="1"/>
      </xdr:nvSpPr>
      <xdr:spPr>
        <a:xfrm>
          <a:off x="3324225" y="1457325"/>
          <a:ext cx="1238250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Fiche en PDF</a:t>
          </a:r>
        </a:p>
      </xdr:txBody>
    </xdr:sp>
    <xdr:clientData/>
  </xdr:twoCellAnchor>
  <xdr:twoCellAnchor editAs="absolute">
    <xdr:from>
      <xdr:col>5</xdr:col>
      <xdr:colOff>38100</xdr:colOff>
      <xdr:row>6</xdr:row>
      <xdr:rowOff>38100</xdr:rowOff>
    </xdr:from>
    <xdr:to>
      <xdr:col>6</xdr:col>
      <xdr:colOff>476250</xdr:colOff>
      <xdr:row>6</xdr:row>
      <xdr:rowOff>266700</xdr:rowOff>
    </xdr:to>
    <xdr:sp macro="" textlink="">
      <xdr:nvSpPr>
        <xdr:cNvPr id="3" name="TextBox 2" descr="macro:Actualiser"/>
        <xdr:cNvSpPr txBox="1"/>
      </xdr:nvSpPr>
      <xdr:spPr>
        <a:xfrm>
          <a:off x="4676775" y="1457325"/>
          <a:ext cx="952500" cy="2286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11</xdr:row>
      <xdr:rowOff>28575</xdr:rowOff>
    </xdr:from>
    <xdr:to>
      <xdr:col>2</xdr:col>
      <xdr:colOff>504825</xdr:colOff>
      <xdr:row>11</xdr:row>
      <xdr:rowOff>409575</xdr:rowOff>
    </xdr:to>
    <xdr:sp macro="" textlink="">
      <xdr:nvSpPr>
        <xdr:cNvPr id="2" name="TextBox 1" descr="macro:ExporterPresencePDF"/>
        <xdr:cNvSpPr txBox="1"/>
      </xdr:nvSpPr>
      <xdr:spPr>
        <a:xfrm>
          <a:off x="180975" y="2828925"/>
          <a:ext cx="228600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Exporter la PRÉSENCE (PDF)</a:t>
          </a:r>
        </a:p>
      </xdr:txBody>
    </xdr:sp>
    <xdr:clientData/>
  </xdr:twoCellAnchor>
  <xdr:twoCellAnchor editAs="absolute">
    <xdr:from>
      <xdr:col>2</xdr:col>
      <xdr:colOff>619125</xdr:colOff>
      <xdr:row>11</xdr:row>
      <xdr:rowOff>28575</xdr:rowOff>
    </xdr:from>
    <xdr:to>
      <xdr:col>3</xdr:col>
      <xdr:colOff>1143000</xdr:colOff>
      <xdr:row>11</xdr:row>
      <xdr:rowOff>409575</xdr:rowOff>
    </xdr:to>
    <xdr:sp macro="" textlink="">
      <xdr:nvSpPr>
        <xdr:cNvPr id="3" name="TextBox 2" descr="macro:ExporterCahierPDF"/>
        <xdr:cNvSpPr txBox="1"/>
      </xdr:nvSpPr>
      <xdr:spPr>
        <a:xfrm>
          <a:off x="2581275" y="2828925"/>
          <a:ext cx="2571750" cy="3810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Exporter le CAHIER DE TEXTE (PDF)</a:t>
          </a:r>
        </a:p>
      </xdr:txBody>
    </xdr:sp>
    <xdr:clientData/>
  </xdr:twoCellAnchor>
  <xdr:twoCellAnchor editAs="absolute">
    <xdr:from>
      <xdr:col>3</xdr:col>
      <xdr:colOff>1257300</xdr:colOff>
      <xdr:row>11</xdr:row>
      <xdr:rowOff>28575</xdr:rowOff>
    </xdr:from>
    <xdr:to>
      <xdr:col>3</xdr:col>
      <xdr:colOff>3257550</xdr:colOff>
      <xdr:row>11</xdr:row>
      <xdr:rowOff>409575</xdr:rowOff>
    </xdr:to>
    <xdr:sp macro="" textlink="">
      <xdr:nvSpPr>
        <xdr:cNvPr id="4" name="TextBox 3" descr="macro:OuvrirDossierPDF"/>
        <xdr:cNvSpPr txBox="1"/>
      </xdr:nvSpPr>
      <xdr:spPr>
        <a:xfrm>
          <a:off x="5267325" y="2828925"/>
          <a:ext cx="20002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📂  Ouvrir le dossier des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2</xdr:col>
      <xdr:colOff>1171575</xdr:colOff>
      <xdr:row>3</xdr:row>
      <xdr:rowOff>276225</xdr:rowOff>
    </xdr:to>
    <xdr:sp macro="" textlink="">
      <xdr:nvSpPr>
        <xdr:cNvPr id="2" name="TextBox 1" descr="macro:AjouterLigne"/>
        <xdr:cNvSpPr txBox="1"/>
      </xdr:nvSpPr>
      <xdr:spPr>
        <a:xfrm>
          <a:off x="180975" y="857250"/>
          <a:ext cx="161925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Ajouter un étudiant</a:t>
          </a:r>
        </a:p>
      </xdr:txBody>
    </xdr:sp>
    <xdr:clientData/>
  </xdr:twoCellAnchor>
  <xdr:twoCellAnchor editAs="absolute">
    <xdr:from>
      <xdr:col>2</xdr:col>
      <xdr:colOff>1285875</xdr:colOff>
      <xdr:row>3</xdr:row>
      <xdr:rowOff>9525</xdr:rowOff>
    </xdr:from>
    <xdr:to>
      <xdr:col>4</xdr:col>
      <xdr:colOff>0</xdr:colOff>
      <xdr:row>3</xdr:row>
      <xdr:rowOff>276225</xdr:rowOff>
    </xdr:to>
    <xdr:sp macro="" textlink="">
      <xdr:nvSpPr>
        <xdr:cNvPr id="3" name="TextBox 2" descr="macro:SupprimerLignes"/>
        <xdr:cNvSpPr txBox="1"/>
      </xdr:nvSpPr>
      <xdr:spPr>
        <a:xfrm>
          <a:off x="1914525" y="857250"/>
          <a:ext cx="1809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247650</xdr:colOff>
      <xdr:row>4</xdr:row>
      <xdr:rowOff>9525</xdr:rowOff>
    </xdr:from>
    <xdr:to>
      <xdr:col>7</xdr:col>
      <xdr:colOff>76200</xdr:colOff>
      <xdr:row>4</xdr:row>
      <xdr:rowOff>276225</xdr:rowOff>
    </xdr:to>
    <xdr:sp macro="" textlink="">
      <xdr:nvSpPr>
        <xdr:cNvPr id="2" name="TextBox 1" descr="macro:PreparerGroupesMatiere"/>
        <xdr:cNvSpPr txBox="1"/>
      </xdr:nvSpPr>
      <xdr:spPr>
        <a:xfrm>
          <a:off x="4371975" y="1047750"/>
          <a:ext cx="25717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Préparer les groupes de cette matière</a:t>
          </a:r>
        </a:p>
      </xdr:txBody>
    </xdr:sp>
    <xdr:clientData/>
  </xdr:twoCellAnchor>
  <xdr:twoCellAnchor editAs="absolute">
    <xdr:from>
      <xdr:col>7</xdr:col>
      <xdr:colOff>190500</xdr:colOff>
      <xdr:row>4</xdr:row>
      <xdr:rowOff>9525</xdr:rowOff>
    </xdr:from>
    <xdr:to>
      <xdr:col>8</xdr:col>
      <xdr:colOff>828675</xdr:colOff>
      <xdr:row>4</xdr:row>
      <xdr:rowOff>276225</xdr:rowOff>
    </xdr:to>
    <xdr:sp macro="" textlink="">
      <xdr:nvSpPr>
        <xdr:cNvPr id="3" name="TextBox 2" descr="macro:SupprimerGroupesMatiere"/>
        <xdr:cNvSpPr txBox="1"/>
      </xdr:nvSpPr>
      <xdr:spPr>
        <a:xfrm>
          <a:off x="7058025" y="1047750"/>
          <a:ext cx="2286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↺  Revenir aux groupes par défaut</a:t>
          </a:r>
        </a:p>
      </xdr:txBody>
    </xdr:sp>
    <xdr:clientData/>
  </xdr:twoCellAnchor>
  <xdr:twoCellAnchor editAs="absolute">
    <xdr:from>
      <xdr:col>8</xdr:col>
      <xdr:colOff>942975</xdr:colOff>
      <xdr:row>4</xdr:row>
      <xdr:rowOff>9525</xdr:rowOff>
    </xdr:from>
    <xdr:to>
      <xdr:col>9</xdr:col>
      <xdr:colOff>57150</xdr:colOff>
      <xdr:row>4</xdr:row>
      <xdr:rowOff>276225</xdr:rowOff>
    </xdr:to>
    <xdr:sp macro="" textlink="">
      <xdr:nvSpPr>
        <xdr:cNvPr id="4" name="TextBox 3" descr="macro:AjouterLigne"/>
        <xdr:cNvSpPr txBox="1"/>
      </xdr:nvSpPr>
      <xdr:spPr>
        <a:xfrm>
          <a:off x="9458325" y="10477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171450</xdr:colOff>
      <xdr:row>4</xdr:row>
      <xdr:rowOff>9525</xdr:rowOff>
    </xdr:from>
    <xdr:to>
      <xdr:col>9</xdr:col>
      <xdr:colOff>1171575</xdr:colOff>
      <xdr:row>4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10334625" y="10477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4</xdr:row>
      <xdr:rowOff>9525</xdr:rowOff>
    </xdr:from>
    <xdr:to>
      <xdr:col>13</xdr:col>
      <xdr:colOff>1619250</xdr:colOff>
      <xdr:row>5</xdr:row>
      <xdr:rowOff>9525</xdr:rowOff>
    </xdr:to>
    <xdr:sp macro="" textlink="">
      <xdr:nvSpPr>
        <xdr:cNvPr id="2" name="TextBox 1" descr="macro:AjouterEnseignant"/>
        <xdr:cNvSpPr txBox="1"/>
      </xdr:nvSpPr>
      <xdr:spPr>
        <a:xfrm>
          <a:off x="12887325" y="1047750"/>
          <a:ext cx="1619250" cy="1905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Ajouter un enseignant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13</xdr:row>
      <xdr:rowOff>38100</xdr:rowOff>
    </xdr:from>
    <xdr:to>
      <xdr:col>13</xdr:col>
      <xdr:colOff>904875</xdr:colOff>
      <xdr:row>14</xdr:row>
      <xdr:rowOff>0</xdr:rowOff>
    </xdr:to>
    <xdr:sp macro="" textlink="">
      <xdr:nvSpPr>
        <xdr:cNvPr id="2" name="TextBox 1" descr="macro:AjouterLigne"/>
        <xdr:cNvSpPr txBox="1"/>
      </xdr:nvSpPr>
      <xdr:spPr>
        <a:xfrm>
          <a:off x="13554075" y="3514725"/>
          <a:ext cx="904875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Groupe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Seances" displayName="tblSeances" ref="B6:U7" totalsRowShown="0">
  <autoFilter ref="B6:U7"/>
  <tableColumns count="20">
    <tableColumn id="1" name="ID" dataDxfId="11"/>
    <tableColumn id="2" name="Date" dataDxfId="12"/>
    <tableColumn id="3" name="Jour" dataDxfId="11">
      <calculatedColumnFormula>IF(tblSeances[[#This Row],[Date]]="","",CHOOSE(WEEKDAY(tblSeances[[#This Row],[Date]],2),"Lundi","Mardi","Mercredi","Jeudi","Vendredi","Samedi","Dimanche"))</calculatedColumnFormula>
    </tableColumn>
    <tableColumn id="4" name="Début" dataDxfId="13"/>
    <tableColumn id="5" name="Fin" dataDxfId="13"/>
    <tableColumn id="6" name="Durée (h)" dataDxfId="14">
      <calculatedColumnFormula>IF(OR(tblSeances[[#This Row],[Début]]="",tblSeances[[#This Row],[Fin]]=""),"",ROUND(MOD(tblSeances[[#This Row],[Fin]]-tblSeances[[#This Row],[Début]],1)*24,2))</calculatedColumnFormula>
    </tableColumn>
    <tableColumn id="7" name="Code matière" dataDxfId="15"/>
    <tableColumn id="8" name="Matière" dataDxfId="16">
      <calculatedColumnFormula>IF(tblSeances[[#This Row],[Code matière]]="","",IFERROR(INDEX(tblMatieres[Intitulé],MATCH(tblSeances[[#This Row],[Code matière]],tblMatieres[Code],0)),"?"))</calculatedColumnFormula>
    </tableColumn>
    <tableColumn id="9" name="Enseignant prévu" dataDxfId="16">
      <calculatedColumnFormula>IF(tblSeances[[#This Row],[Code matière]]="","",IFERROR(INDEX(tblMatieres[Enseignant(s)],MATCH(tblSeances[[#This Row],[Code matière]],tblMatieres[Code],0)),""))</calculatedColumnFormula>
    </tableColumn>
    <tableColumn id="10" name="Présence prof" dataDxfId="15"/>
    <tableColumn id="11" name="Remplaçant ou motif" dataDxfId="17"/>
    <tableColumn id="12" name="Type de séance" dataDxfId="15"/>
    <tableColumn id="13" name="Contenu / chapitres traités" dataDxfId="18"/>
    <tableColumn id="14" name="Travaux demandés" dataDxfId="18"/>
    <tableColumn id="15" name="Présents" dataDxfId="19">
      <calculatedColumnFormula>IF(tblSeances[[#This Row],[ID]]="","",COUNTIFS(tblPresences[ID séance],tblSeances[[#This Row],[ID]],tblPresences[Statut],"P"))</calculatedColumnFormula>
    </tableColumn>
    <tableColumn id="16" name="Absents" dataDxfId="19">
      <calculatedColumnFormula>IF(tblSeances[[#This Row],[ID]]="","",COUNTIFS(tblPresences[ID séance],tblSeances[[#This Row],[ID]],tblPresences[Statut],"A"))</calculatedColumnFormula>
    </tableColumn>
    <tableColumn id="17" name="Retards" dataDxfId="19">
      <calculatedColumnFormula>IF(tblSeances[[#This Row],[ID]]="","",COUNTIFS(tblPresences[ID séance],tblSeances[[#This Row],[ID]],tblPresences[Statut],"R"))</calculatedColumnFormula>
    </tableColumn>
    <tableColumn id="18" name="Excusés" dataDxfId="19">
      <calculatedColumnFormula>IF(tblSeances[[#This Row],[ID]]="","",COUNTIFS(tblPresences[ID séance],tblSeances[[#This Row],[ID]],tblPresences[Statut],"E"))</calculatedColumnFormula>
    </tableColumn>
    <tableColumn id="19" name="Taux de présence" dataDxfId="20">
      <calculatedColumnFormula>IF(tblSeances[[#This Row],[ID]]="","",IFERROR((tblSeances[[#This Row],[Présents]]+tblSeances[[#This Row],[Retards]])/(tblSeances[[#This Row],[Présents]]+tblSeances[[#This Row],[Absents]]+tblSeances[[#This Row],[Retards]]+tblSeances[[#This Row],[Excusés]]),""))</calculatedColumnFormula>
    </tableColumn>
    <tableColumn id="20" name="Observation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Presences" displayName="tblPresences" ref="B6:L7" totalsRowShown="0">
  <autoFilter ref="B6:L7"/>
  <tableColumns count="11">
    <tableColumn id="1" name="ID séance" dataDxfId="11"/>
    <tableColumn id="2" name="Étudiant" dataDxfId="16"/>
    <tableColumn id="3" name="Groupe" dataDxfId="11"/>
    <tableColumn id="4" name="Code matière" dataDxfId="11"/>
    <tableColumn id="5" name="Matière" dataDxfId="16"/>
    <tableColumn id="6" name="Date" dataDxfId="22"/>
    <tableColumn id="7" name="Heure" dataDxfId="23"/>
    <tableColumn id="8" name="Statut" dataDxfId="15"/>
    <tableColumn id="9" name="Arrivée" dataDxfId="13"/>
    <tableColumn id="10" name="Observation" dataDxfId="17"/>
    <tableColumn id="11" name="Saisie le" dataDxfId="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blExposes" displayName="tblExposes" ref="B25:K26" totalsRowShown="0">
  <autoFilter ref="B25:K26"/>
  <tableColumns count="10">
    <tableColumn id="1" name="Code matière" dataDxfId="15"/>
    <tableColumn id="2" name="Matière" dataDxfId="16">
      <calculatedColumnFormula>IF(tblExposes[[#This Row],[Code matière]]="","",IFERROR(INDEX(tblMatieres[Abrégé],MATCH(tblExposes[[#This Row],[Code matière]],tblMatieres[Code],0)),"?"))</calculatedColumnFormula>
    </tableColumn>
    <tableColumn id="3" name="Groupe" dataDxfId="15"/>
    <tableColumn id="4" name="Thème" dataDxfId="18"/>
    <tableColumn id="5" name="Date prévue" dataDxfId="12"/>
    <tableColumn id="6" name="Date de passage" dataDxfId="12"/>
    <tableColumn id="7" name="Statut" dataDxfId="15"/>
    <tableColumn id="8" name="Note sur 20" dataDxfId="25"/>
    <tableColumn id="9" name="Observation" dataDxfId="18"/>
    <tableColumn id="10" name="Membres" dataDxfId="2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tblRapports" displayName="tblRapports" ref="B6:P7" totalsRowShown="0">
  <autoFilter ref="B6:P7"/>
  <tableColumns count="15">
    <tableColumn id="1" name="ID" dataDxfId="11"/>
    <tableColumn id="2" name="Code matière" dataDxfId="15"/>
    <tableColumn id="3" name="Matière" dataDxfId="16">
      <calculatedColumnFormula>IF(tblRapports[[#This Row],[Code matière]]="","",IFERROR(INDEX(tblMatieres[Abrégé],MATCH(tblRapports[[#This Row],[Code matière]],tblMatieres[Code],0)),"?"))</calculatedColumnFormula>
    </tableColumn>
    <tableColumn id="4" name="Intitulé" dataDxfId="18"/>
    <tableColumn id="5" name="Type" dataDxfId="15"/>
    <tableColumn id="6" name="Date consigne" dataDxfId="12"/>
    <tableColumn id="7" name="Date limite" dataDxfId="12"/>
    <tableColumn id="8" name="Heure limite" dataDxfId="13"/>
    <tableColumn id="9" name="Attendus" dataDxfId="19">
      <calculatedColumnFormula>IF(tblRapports[[#This Row],[ID]]="","",COUNTIFS(tblRemises[ID rapport],tblRapports[[#This Row],[ID]]))</calculatedColumnFormula>
    </tableColumn>
    <tableColumn id="10" name="Remis" dataDxfId="19">
      <calculatedColumnFormula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calculatedColumnFormula>
    </tableColumn>
    <tableColumn id="11" name="À temps" dataDxfId="19">
      <calculatedColumnFormula>IF(tblRapports[[#This Row],[ID]]="","",COUNTIFS(tblRemises[ID rapport],tblRapports[[#This Row],[ID]],tblRemises[Statut],"À temps"))</calculatedColumnFormula>
    </tableColumn>
    <tableColumn id="12" name="En retard" dataDxfId="19">
      <calculatedColumnFormula>IF(tblRapports[[#This Row],[ID]]="","",COUNTIFS(tblRemises[ID rapport],tblRapports[[#This Row],[ID]],tblRemises[Statut],"En retard"))</calculatedColumnFormula>
    </tableColumn>
    <tableColumn id="13" name="Non remis" dataDxfId="19">
      <calculatedColumnFormula>IF(tblRapports[[#This Row],[ID]]="","",COUNTIFS(tblRemises[ID rapport],tblRapports[[#This Row],[ID]],tblRemises[Statut],"Non remis"))</calculatedColumnFormula>
    </tableColumn>
    <tableColumn id="14" name="En attente" dataDxfId="19">
      <calculatedColumnFormula>IF(tblRapports[[#This Row],[ID]]="","",COUNTIFS(tblRemises[ID rapport],tblRapports[[#This Row],[ID]],tblRemises[Statut],"En attente"))</calculatedColumnFormula>
    </tableColumn>
    <tableColumn id="15" name="Taux de remise" dataDxfId="20">
      <calculatedColumnFormula>IF(tblRapports[[#This Row],[ID]]="","",IFERROR(tblRapports[[#This Row],[Remis]]/tblRapports[[#This Row],[Attendus]],""))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blRemises" displayName="tblRemises" ref="B6:L7" totalsRowShown="0">
  <autoFilter ref="B6:L7"/>
  <tableColumns count="11">
    <tableColumn id="1" name="ID rapport" dataDxfId="15"/>
    <tableColumn id="2" name="Code matière" dataDxfId="11">
      <calculatedColumnFormula>IF(tblRemises[[#This Row],[ID rapport]]="","",IFERROR(INDEX(tblRapports[Code matière],MATCH(tblRemises[[#This Row],[ID rapport]],tblRapports[ID],0)),""))</calculatedColumnFormula>
    </tableColumn>
    <tableColumn id="3" name="Intitulé" dataDxfId="16">
      <calculatedColumnFormula>IF(tblRemises[[#This Row],[ID rapport]]="","",IFERROR(INDEX(tblRapports[Intitulé],MATCH(tblRemises[[#This Row],[ID rapport]],tblRapports[ID],0)),""))</calculatedColumnFormula>
    </tableColumn>
    <tableColumn id="4" name="Type" dataDxfId="11">
      <calculatedColumnFormula>IF(tblRemises[[#This Row],[ID rapport]]="","",IFERROR(INDEX(tblRapports[Type],MATCH(tblRemises[[#This Row],[ID rapport]],tblRapports[ID],0)),""))</calculatedColumnFormula>
    </tableColumn>
    <tableColumn id="5" name="Remis par" dataDxfId="17"/>
    <tableColumn id="6" name="Échéance" dataDxfId="24">
      <calculatedColumnFormula>IF(tblRemises[[#This Row],[ID rapport]]="","",IFERROR(INDEX(tblRapports[Date limite],MATCH(tblRemises[[#This Row],[ID rapport]],tblRapports[ID],0)),0)+IFERROR(INDEX(tblRapports[Heure limite],MATCH(tblRemises[[#This Row],[ID rapport]],tblRapports[ID],0)),0))</calculatedColumnFormula>
    </tableColumn>
    <tableColumn id="7" name="Date remise" dataDxfId="12"/>
    <tableColumn id="8" name="Heure remise" dataDxfId="13"/>
    <tableColumn id="9" name="Statut" dataDxfId="11">
      <calculatedColumnFormula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calculatedColumnFormula>
    </tableColumn>
    <tableColumn id="10" name="Observation" dataDxfId="17"/>
    <tableColumn id="11" name="Membres" dataDxfId="2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blEtudiants" displayName="tblEtudiants" ref="B6:G7" totalsRowShown="0">
  <autoFilter ref="B6:G7"/>
  <tableColumns count="6">
    <tableColumn id="1" name="N°" dataDxfId="15"/>
    <tableColumn id="2" name="Nom et prénoms" dataDxfId="31"/>
    <tableColumn id="3" name="Groupe" dataDxfId="15"/>
    <tableColumn id="4" name="Rôle" dataDxfId="15"/>
    <tableColumn id="5" name="Email" dataDxfId="32"/>
    <tableColumn id="6" name="Contact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Groupes" displayName="tblGroupes" ref="B9:E10" totalsRowShown="0">
  <autoFilter ref="B9:E10"/>
  <tableColumns count="4">
    <tableColumn id="1" name="Code matière" dataDxfId="15"/>
    <tableColumn id="2" name="Étudiant" dataDxfId="17"/>
    <tableColumn id="3" name="Groupe" dataDxfId="34"/>
    <tableColumn id="4" name="Rôle" dataDxfId="1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blMatieres" displayName="tblMatieres" ref="B6:L18" totalsRowCount="1">
  <autoFilter ref="B6:L17"/>
  <tableColumns count="11">
    <tableColumn id="1" name="Code" totalsRowLabel="TOTAL" dataDxfId="35"/>
    <tableColumn id="2" name="UE" dataDxfId="36"/>
    <tableColumn id="3" name="Intitulé" dataDxfId="37"/>
    <tableColumn id="4" name="Abrégé" dataDxfId="36"/>
    <tableColumn id="5" name="Enseignant(s)" dataDxfId="38"/>
    <tableColumn id="6" name="Cours (h)" totalsRowFunction="custom" dataDxfId="36">
      <totalsRowFormula>SUBTOTAL(109,tblMatieres[Cours (h)])</totalsRowFormula>
    </tableColumn>
    <tableColumn id="7" name="TD (h)" totalsRowFunction="custom" dataDxfId="36">
      <totalsRowFormula>SUBTOTAL(109,tblMatieres[TD (h)])</totalsRowFormula>
    </tableColumn>
    <tableColumn id="8" name="TP (h)" totalsRowFunction="custom" dataDxfId="36">
      <totalsRowFormula>SUBTOTAL(109,tblMatieres[TP (h)])</totalsRowFormula>
    </tableColumn>
    <tableColumn id="9" name="Volume total (h)" totalsRowFunction="custom" dataDxfId="35">
      <calculatedColumnFormula>tblMatieres[[#This Row],[Cours (h)]]+tblMatieres[[#This Row],[TD (h)]]+tblMatieres[[#This Row],[TP (h)]]</calculatedColumnFormula>
      <totalsRowFormula>SUBTOTAL(109,tblMatieres[Volume total (h)])</totalsRowFormula>
    </tableColumn>
    <tableColumn id="10" name="Couleur" dataDxfId="39"/>
    <tableColumn id="11" name="Libellé" dataDxfId="40">
      <calculatedColumnFormula>tblMatieres[[#This Row],[Code]]&amp;" – "&amp;tblMatieres[[#This Row],[Abrégé]]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Enseignants" displayName="tblEnseignants" ref="N6:P16" totalsRowShown="0">
  <autoFilter ref="N6:P16"/>
  <tableColumns count="3">
    <tableColumn id="1" name="Enseignant" dataDxfId="31"/>
    <tableColumn id="2" name="Téléphone" dataDxfId="15"/>
    <tableColumn id="3" name="Email" dataDxfId="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0" name="tblEDT" displayName="tblEDT" ref="B6:K18" totalsRowShown="0">
  <autoFilter ref="B6:K18"/>
  <tableColumns count="10">
    <tableColumn id="1" name="Jour" dataDxfId="35"/>
    <tableColumn id="2" name="N° jour" dataDxfId="41">
      <calculatedColumnFormula>IFERROR(MATCH(tblEDT[[#This Row],[Jour]],{"Lundi","Mardi","Mercredi","Jeudi","Vendredi","Samedi","Dimanche"},0),"")</calculatedColumnFormula>
    </tableColumn>
    <tableColumn id="3" name="Début" dataDxfId="42"/>
    <tableColumn id="4" name="Fin" dataDxfId="42"/>
    <tableColumn id="5" name="Code matière" dataDxfId="35"/>
    <tableColumn id="6" name="Matière" dataDxfId="38">
      <calculatedColumnFormula>IFERROR(IFERROR(INDEX(tblMatieres[Intitulé],MATCH(tblEDT[[#This Row],[Code matière]],tblMatieres[Code],0)),""),"")</calculatedColumnFormula>
    </tableColumn>
    <tableColumn id="7" name="Enseignant" dataDxfId="38">
      <calculatedColumnFormula>IFERROR(IFERROR(INDEX(tblMatieres[Enseignant(s)],MATCH(tblEDT[[#This Row],[Code matière]],tblMatieres[Code],0)),""),"")</calculatedColumnFormula>
    </tableColumn>
    <tableColumn id="8" name="Salle" dataDxfId="36"/>
    <tableColumn id="9" name="Durée (h)" dataDxfId="43">
      <calculatedColumnFormula>IF(OR(tblEDT[[#This Row],[Début]]="",tblEDT[[#This Row],[Fin]]=""),"",ROUND((tblEDT[[#This Row],[Fin]]-tblEDT[[#This Row],[Début]])*24,2))</calculatedColumnFormula>
    </tableColumn>
    <tableColumn id="10" name="Minutes avant" dataDxfId="44">
      <calculatedColumnFormula>IF(OR(tblEDT[[#This Row],[N° jour]]="",tblEDT[[#This Row],[Début]]=""),"",MOD((tblEDT[[#This Row],[N° jour]]-1)*1440+ROUND(tblEDT[[#This Row],[Début]]*1440,0)-((WEEKDAY(TODAY(),2)-1)*1440+ROUND(MOD(NOW(),1)*1440,0)),10080))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ListeGroupes" displayName="tblListeGroupes" ref="N6:N13" totalsRowShown="0">
  <autoFilter ref="N6:N13"/>
  <tableColumns count="1">
    <tableColumn id="1" name="Groupe" dataDxfId="1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3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4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5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6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7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8.xml"/><Relationship Id="rId3" Type="http://schemas.openxmlformats.org/officeDocument/2006/relationships/table" Target="../tables/table9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Accueil">
    <tabColor rgb="FF1F3864"/>
  </sheetPr>
  <dimension ref="A1:P44"/>
  <sheetViews>
    <sheetView showGridLines="0" tabSelected="1" zoomScale="90" zoomScaleNormal="90" workbookViewId="0"/>
  </sheetViews>
  <sheetFormatPr defaultRowHeight="15"/>
  <cols>
    <col min="1" max="1" width="2.7109375" customWidth="1"/>
    <col min="2" max="13" width="11.7109375" customWidth="1"/>
    <col min="14" max="15" width="3.7109375" customWidth="1"/>
    <col min="16" max="16" width="0" hidden="1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2:16" ht="26" customHeight="1">
      <c r="B3" s="3">
        <f>pEcole&amp;"  —  "&amp;pDepartement&amp;"  —  "&amp;pNiveau&amp;" "&amp;pOption&amp;"  —  Année académique "&amp;pAnnee&amp;"  —  "&amp;pSemestre</f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2:16" ht="22" customHeight="1">
      <c r="B4" s="5">
        <f>TODAY()</f>
        <v>0</v>
      </c>
      <c r="C4" s="6"/>
      <c r="D4" s="6"/>
      <c r="E4" s="6"/>
      <c r="F4" s="6"/>
      <c r="G4" s="6"/>
      <c r="H4" s="6"/>
      <c r="I4" s="7">
        <f>"Mis à jour à "&amp;TEXT(NOW(),"hh:mm")&amp;"  (F9 pour actualiser)"</f>
        <v>0</v>
      </c>
      <c r="J4" s="6"/>
      <c r="K4" s="6"/>
      <c r="L4" s="6"/>
      <c r="M4" s="6"/>
    </row>
    <row r="6" spans="2:16">
      <c r="B6" s="8" t="s">
        <v>3</v>
      </c>
      <c r="C6" s="8"/>
      <c r="D6" s="8"/>
      <c r="E6" s="8"/>
      <c r="F6" s="8"/>
      <c r="G6" s="8"/>
      <c r="I6" s="9" t="s">
        <v>4</v>
      </c>
      <c r="J6" s="9"/>
      <c r="K6" s="9"/>
      <c r="L6" s="9"/>
      <c r="M6" s="9"/>
      <c r="P6" cm="1">
        <f t="array" ref="P6">IFERROR(MATCH(1,(tblEDT[N° jour]=WEEKDAY(TODAY(),2))*(tblEDT[Début]-pMarge/1440&lt;=MOD(NOW(),1))*(tblEDT[Fin]&gt;MOD(NOW(),1)),0),0)</f>
        <v>0</v>
      </c>
    </row>
    <row r="7" spans="2:16" ht="30" customHeight="1">
      <c r="B7" s="10">
        <f>IF($P$6=0,"Aucun cours en ce moment",INDEX(tblEDT[Code matière],$P$6)&amp;"  ·  "&amp;INDEX(tblEDT[Matière],$P$6))</f>
        <v>0</v>
      </c>
      <c r="C7" s="11"/>
      <c r="D7" s="11"/>
      <c r="E7" s="11"/>
      <c r="F7" s="11"/>
      <c r="G7" s="11"/>
      <c r="I7" s="10">
        <f>IF($P$7=0,"—",INDEX(tblEDT[Code matière],$P$7)&amp;"  ·  "&amp;INDEX(tblEDT[Matière],$P$7))</f>
        <v>0</v>
      </c>
      <c r="J7" s="11"/>
      <c r="K7" s="11"/>
      <c r="L7" s="11"/>
      <c r="M7" s="11"/>
      <c r="P7">
        <f>IFERROR(MATCH(_xlfn.MINIFS(tblEDT[Minutes avant],tblEDT[Minutes avant],"&gt;"&amp;pMarge),tblEDT[Minutes avant],0),0)</f>
        <v>0</v>
      </c>
    </row>
    <row r="8" spans="2:16" ht="20" customHeight="1">
      <c r="B8" s="11">
        <f>IF($P$6=0,"Profitez-en pour mettre à jour les rapports et exposés.",TEXT(INDEX(tblEDT[Début],$P$6),"hh:mm")&amp;" – "&amp;TEXT(INDEX(tblEDT[Fin],$P$6),"hh:mm")&amp;"   ·   "&amp;INDEX(tblEDT[Enseignant],$P$6)&amp;"   ·   Salle "&amp;INDEX(tblEDT[Salle],$P$6))</f>
        <v>0</v>
      </c>
      <c r="C8" s="11"/>
      <c r="D8" s="11"/>
      <c r="E8" s="11"/>
      <c r="F8" s="11"/>
      <c r="G8" s="11"/>
      <c r="I8" s="11">
        <f>IF($P$7=0,"",INDEX(tblEDT[Jour],$P$7)&amp;" "&amp;TEXT(INDEX(tblEDT[Début],$P$7),"hh:mm")&amp;"   ·   "&amp;INDEX(tblEDT[Enseignant],$P$7)&amp;"   ·   Salle "&amp;INDEX(tblEDT[Salle],$P$7))</f>
        <v>0</v>
      </c>
      <c r="J8" s="11"/>
      <c r="K8" s="11"/>
      <c r="L8" s="11"/>
      <c r="M8" s="11"/>
      <c r="P8">
        <f>IF(P7=0,"",INDEX(tblEDT[Minutes avant],P7))</f>
        <v>0</v>
      </c>
    </row>
    <row r="9" spans="2:16">
      <c r="B9" s="12">
        <f>IF($P$6=0,"",IF(COUNTIFS(tblSeances[Date],TODAY(),tblSeances[Code matière],INDEX(tblEDT[Code matière],$P$6))&gt;0,"✔ Séance enregistrée dans le cahier de texte","⚠ Séance pas encore démarrée : cliquez sur « DÉMARRER LE COURS »"))</f>
        <v>0</v>
      </c>
      <c r="C9" s="11"/>
      <c r="D9" s="11"/>
      <c r="E9" s="11"/>
      <c r="F9" s="11"/>
      <c r="G9" s="11"/>
      <c r="I9" s="12">
        <f>IF($P$7=0,"","Dans "&amp;IF($P$8&gt;=1440,INT($P$8/1440)&amp;" j ","")&amp;INT(MOD($P$8,1440)/60)&amp;" h "&amp;TEXT(MOD($P$8,60),"00")&amp;" min")</f>
        <v>0</v>
      </c>
      <c r="J9" s="11"/>
      <c r="K9" s="11"/>
      <c r="L9" s="11"/>
      <c r="M9" s="11"/>
    </row>
    <row r="11" spans="2:16">
      <c r="B11" s="13" t="s">
        <v>5</v>
      </c>
      <c r="C11" s="13"/>
      <c r="D11" s="14" t="s">
        <v>6</v>
      </c>
      <c r="E11" s="14"/>
      <c r="F11" s="15" t="s">
        <v>7</v>
      </c>
      <c r="G11" s="15"/>
      <c r="H11" s="16" t="s">
        <v>8</v>
      </c>
      <c r="I11" s="16"/>
      <c r="J11" s="17" t="s">
        <v>9</v>
      </c>
      <c r="K11" s="17"/>
      <c r="L11" s="18" t="s">
        <v>10</v>
      </c>
      <c r="M11" s="18"/>
    </row>
    <row r="12" spans="2:16" ht="36" customHeight="1">
      <c r="B12" s="19">
        <f>COUNTIF(tblSeances[ID],"S*")</f>
        <v>0</v>
      </c>
      <c r="C12" s="6"/>
      <c r="D12" s="20">
        <f>SUMIFS(tblSeances[Durée (h)],tblSeances[Présence prof],"&lt;&gt;Absent")</f>
        <v>0</v>
      </c>
      <c r="E12" s="6"/>
      <c r="F12" s="21">
        <f>IFERROR((COUNTIF(tblPresences[Statut],"P")+COUNTIF(tblPresences[Statut],"R"))/COUNTIF(tblPresences[Statut],"?"),"—")</f>
        <v>0</v>
      </c>
      <c r="G12" s="6"/>
      <c r="H12" s="22">
        <f>COUNTIF('RÉCAP ABSENCES'!$T$7:$T$206,"&gt;"&amp;pSeuil)</f>
        <v>0</v>
      </c>
      <c r="I12" s="6"/>
      <c r="J12" s="23">
        <f>COUNTIF(tblRemises[Statut],"Non remis")</f>
        <v>0</v>
      </c>
      <c r="K12" s="6"/>
      <c r="L12" s="24">
        <f>COUNTIF(tblExposes[Statut],"À venir")+COUNTIF(tblExposes[Statut],"Reporté")</f>
        <v>0</v>
      </c>
      <c r="M12" s="6"/>
    </row>
    <row r="13" spans="2:16" ht="26" customHeight="1">
      <c r="B13" s="25">
        <f>"dont "&amp;COUNTIF(tblSeances[Présence prof],"Absent")&amp;" sans professeur"</f>
        <v>0</v>
      </c>
      <c r="C13" s="6"/>
      <c r="D13" s="25">
        <f>"sur "&amp;SUM(tblMatieres[Volume total (h)])&amp;" h prévues ("&amp;TEXT(IFERROR(SUMIFS(tblSeances[Durée (h)],tblSeances[Présence prof],"&lt;&gt;Absent")/SUM(tblMatieres[Volume total (h)]),0),"0%")&amp;")"</f>
        <v>0</v>
      </c>
      <c r="E13" s="6"/>
      <c r="F13" s="25">
        <f>COUNTIF(tblPresences[Statut],"A")&amp;" absences · "&amp;COUNTIF(tblPresences[Statut],"R")&amp;" retards"</f>
        <v>0</v>
      </c>
      <c r="G13" s="6"/>
      <c r="H13" s="25">
        <f>"plus de "&amp;pSeuil&amp;" absences dans une matière"</f>
        <v>0</v>
      </c>
      <c r="I13" s="6"/>
      <c r="J13" s="25">
        <f>COUNTIF(tblRemises[Statut],"En retard")&amp;" remis en retard"</f>
        <v>0</v>
      </c>
      <c r="K13" s="6"/>
      <c r="L13" s="25">
        <f>COUNTIF(tblExposes[Statut],"Présenté")&amp;" déjà présentés"</f>
        <v>0</v>
      </c>
      <c r="M13" s="6"/>
    </row>
    <row r="15" spans="2:16">
      <c r="B15" s="8" t="s">
        <v>11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2:16">
      <c r="B16" s="26" t="s">
        <v>12</v>
      </c>
      <c r="C16" s="26"/>
      <c r="D16" s="26" t="s">
        <v>13</v>
      </c>
      <c r="E16" s="26" t="s">
        <v>14</v>
      </c>
      <c r="F16" s="26"/>
      <c r="G16" s="26"/>
      <c r="H16" s="26"/>
      <c r="I16" s="26" t="s">
        <v>15</v>
      </c>
      <c r="J16" s="26"/>
      <c r="K16" s="26" t="s">
        <v>16</v>
      </c>
      <c r="L16" s="26" t="s">
        <v>17</v>
      </c>
      <c r="M16" s="26"/>
    </row>
    <row r="17" spans="2:16">
      <c r="B17" s="27">
        <f>IF($P$17=0,"",TEXT(INDEX(tblEDT[Début],$P$17),"hh:mm")&amp;" – "&amp;TEXT(INDEX(tblEDT[Fin],$P$17),"hh:mm"))</f>
        <v>0</v>
      </c>
      <c r="C17" s="27"/>
      <c r="D17" s="28">
        <f>IF($P$17=0,"",INDEX(tblEDT[Code matière],$P$17))</f>
        <v>0</v>
      </c>
      <c r="E17" s="29">
        <f>IF($P$17=0,IF(0=0,"Pas de cours prévu aujourd'hui",""),INDEX(tblEDT[Matière],$P$17))</f>
        <v>0</v>
      </c>
      <c r="F17" s="29"/>
      <c r="G17" s="29"/>
      <c r="H17" s="29"/>
      <c r="I17" s="29">
        <f>IF($P$17=0,"",INDEX(tblEDT[Enseignant],$P$17))</f>
        <v>0</v>
      </c>
      <c r="J17" s="29"/>
      <c r="K17" s="27">
        <f>IF($P$17=0,"",INDEX(tblEDT[Salle],$P$17))</f>
        <v>0</v>
      </c>
      <c r="L17" s="27">
        <f>IF($P$17=0,"",IF(COUNTIFS(tblSeances[Date],TODAY(),tblSeances[Code matière],INDEX(tblEDT[Code matière],$P$17))&gt;0,"✔ Enregistré",IF(INDEX(tblEDT[Fin],$P$17)&lt;MOD(NOW(),1),"✖ Non saisi",IF(INDEX(tblEDT[Début],$P$17)&lt;=MOD(NOW(),1),"● En cours","À venir"))))</f>
        <v>0</v>
      </c>
      <c r="M17" s="27"/>
      <c r="P17" cm="1">
        <f t="array" ref="P17">IFERROR(MATCH(SMALL(IF(tblEDT[N° jour]=WEEKDAY(TODAY(),2),tblEDT[Début]+ROW(tblEDT[Début])/100000),1),tblEDT[Début]+ROW(tblEDT[Début])/100000,0),0)</f>
        <v>0</v>
      </c>
    </row>
    <row r="18" spans="2:16">
      <c r="B18" s="30">
        <f>IF($P$18=0,"",TEXT(INDEX(tblEDT[Début],$P$18),"hh:mm")&amp;" – "&amp;TEXT(INDEX(tblEDT[Fin],$P$18),"hh:mm"))</f>
        <v>0</v>
      </c>
      <c r="C18" s="30"/>
      <c r="D18" s="31">
        <f>IF($P$18=0,"",INDEX(tblEDT[Code matière],$P$18))</f>
        <v>0</v>
      </c>
      <c r="E18" s="32">
        <f>IF($P$18=0,IF(1=0,"Pas de cours prévu aujourd'hui",""),INDEX(tblEDT[Matière],$P$18))</f>
        <v>0</v>
      </c>
      <c r="F18" s="32"/>
      <c r="G18" s="32"/>
      <c r="H18" s="32"/>
      <c r="I18" s="32">
        <f>IF($P$18=0,"",INDEX(tblEDT[Enseignant],$P$18))</f>
        <v>0</v>
      </c>
      <c r="J18" s="32"/>
      <c r="K18" s="30">
        <f>IF($P$18=0,"",INDEX(tblEDT[Salle],$P$18))</f>
        <v>0</v>
      </c>
      <c r="L18" s="30">
        <f>IF($P$18=0,"",IF(COUNTIFS(tblSeances[Date],TODAY(),tblSeances[Code matière],INDEX(tblEDT[Code matière],$P$18))&gt;0,"✔ Enregistré",IF(INDEX(tblEDT[Fin],$P$18)&lt;MOD(NOW(),1),"✖ Non saisi",IF(INDEX(tblEDT[Début],$P$18)&lt;=MOD(NOW(),1),"● En cours","À venir"))))</f>
        <v>0</v>
      </c>
      <c r="M18" s="30"/>
      <c r="P18" cm="1">
        <f t="array" ref="P18">IFERROR(MATCH(SMALL(IF(tblEDT[N° jour]=WEEKDAY(TODAY(),2),tblEDT[Début]+ROW(tblEDT[Début])/100000),2),tblEDT[Début]+ROW(tblEDT[Début])/100000,0),0)</f>
        <v>0</v>
      </c>
    </row>
    <row r="19" spans="2:16">
      <c r="B19" s="27">
        <f>IF($P$19=0,"",TEXT(INDEX(tblEDT[Début],$P$19),"hh:mm")&amp;" – "&amp;TEXT(INDEX(tblEDT[Fin],$P$19),"hh:mm"))</f>
        <v>0</v>
      </c>
      <c r="C19" s="27"/>
      <c r="D19" s="28">
        <f>IF($P$19=0,"",INDEX(tblEDT[Code matière],$P$19))</f>
        <v>0</v>
      </c>
      <c r="E19" s="29">
        <f>IF($P$19=0,IF(2=0,"Pas de cours prévu aujourd'hui",""),INDEX(tblEDT[Matière],$P$19))</f>
        <v>0</v>
      </c>
      <c r="F19" s="29"/>
      <c r="G19" s="29"/>
      <c r="H19" s="29"/>
      <c r="I19" s="29">
        <f>IF($P$19=0,"",INDEX(tblEDT[Enseignant],$P$19))</f>
        <v>0</v>
      </c>
      <c r="J19" s="29"/>
      <c r="K19" s="27">
        <f>IF($P$19=0,"",INDEX(tblEDT[Salle],$P$19))</f>
        <v>0</v>
      </c>
      <c r="L19" s="27">
        <f>IF($P$19=0,"",IF(COUNTIFS(tblSeances[Date],TODAY(),tblSeances[Code matière],INDEX(tblEDT[Code matière],$P$19))&gt;0,"✔ Enregistré",IF(INDEX(tblEDT[Fin],$P$19)&lt;MOD(NOW(),1),"✖ Non saisi",IF(INDEX(tblEDT[Début],$P$19)&lt;=MOD(NOW(),1),"● En cours","À venir"))))</f>
        <v>0</v>
      </c>
      <c r="M19" s="27"/>
      <c r="P19" cm="1">
        <f t="array" ref="P19">IFERROR(MATCH(SMALL(IF(tblEDT[N° jour]=WEEKDAY(TODAY(),2),tblEDT[Début]+ROW(tblEDT[Début])/100000),3),tblEDT[Début]+ROW(tblEDT[Début])/100000,0),0)</f>
        <v>0</v>
      </c>
    </row>
    <row r="20" spans="2:16">
      <c r="B20" s="30">
        <f>IF($P$20=0,"",TEXT(INDEX(tblEDT[Début],$P$20),"hh:mm")&amp;" – "&amp;TEXT(INDEX(tblEDT[Fin],$P$20),"hh:mm"))</f>
        <v>0</v>
      </c>
      <c r="C20" s="30"/>
      <c r="D20" s="31">
        <f>IF($P$20=0,"",INDEX(tblEDT[Code matière],$P$20))</f>
        <v>0</v>
      </c>
      <c r="E20" s="32">
        <f>IF($P$20=0,IF(3=0,"Pas de cours prévu aujourd'hui",""),INDEX(tblEDT[Matière],$P$20))</f>
        <v>0</v>
      </c>
      <c r="F20" s="32"/>
      <c r="G20" s="32"/>
      <c r="H20" s="32"/>
      <c r="I20" s="32">
        <f>IF($P$20=0,"",INDEX(tblEDT[Enseignant],$P$20))</f>
        <v>0</v>
      </c>
      <c r="J20" s="32"/>
      <c r="K20" s="30">
        <f>IF($P$20=0,"",INDEX(tblEDT[Salle],$P$20))</f>
        <v>0</v>
      </c>
      <c r="L20" s="30">
        <f>IF($P$20=0,"",IF(COUNTIFS(tblSeances[Date],TODAY(),tblSeances[Code matière],INDEX(tblEDT[Code matière],$P$20))&gt;0,"✔ Enregistré",IF(INDEX(tblEDT[Fin],$P$20)&lt;MOD(NOW(),1),"✖ Non saisi",IF(INDEX(tblEDT[Début],$P$20)&lt;=MOD(NOW(),1),"● En cours","À venir"))))</f>
        <v>0</v>
      </c>
      <c r="M20" s="30"/>
      <c r="P20" cm="1">
        <f t="array" ref="P20">IFERROR(MATCH(SMALL(IF(tblEDT[N° jour]=WEEKDAY(TODAY(),2),tblEDT[Début]+ROW(tblEDT[Début])/100000),4),tblEDT[Début]+ROW(tblEDT[Début])/100000,0),0)</f>
        <v>0</v>
      </c>
    </row>
    <row r="21" spans="2:16">
      <c r="B21" s="27">
        <f>IF($P$21=0,"",TEXT(INDEX(tblEDT[Début],$P$21),"hh:mm")&amp;" – "&amp;TEXT(INDEX(tblEDT[Fin],$P$21),"hh:mm"))</f>
        <v>0</v>
      </c>
      <c r="C21" s="27"/>
      <c r="D21" s="28">
        <f>IF($P$21=0,"",INDEX(tblEDT[Code matière],$P$21))</f>
        <v>0</v>
      </c>
      <c r="E21" s="29">
        <f>IF($P$21=0,IF(4=0,"Pas de cours prévu aujourd'hui",""),INDEX(tblEDT[Matière],$P$21))</f>
        <v>0</v>
      </c>
      <c r="F21" s="29"/>
      <c r="G21" s="29"/>
      <c r="H21" s="29"/>
      <c r="I21" s="29">
        <f>IF($P$21=0,"",INDEX(tblEDT[Enseignant],$P$21))</f>
        <v>0</v>
      </c>
      <c r="J21" s="29"/>
      <c r="K21" s="27">
        <f>IF($P$21=0,"",INDEX(tblEDT[Salle],$P$21))</f>
        <v>0</v>
      </c>
      <c r="L21" s="27">
        <f>IF($P$21=0,"",IF(COUNTIFS(tblSeances[Date],TODAY(),tblSeances[Code matière],INDEX(tblEDT[Code matière],$P$21))&gt;0,"✔ Enregistré",IF(INDEX(tblEDT[Fin],$P$21)&lt;MOD(NOW(),1),"✖ Non saisi",IF(INDEX(tblEDT[Début],$P$21)&lt;=MOD(NOW(),1),"● En cours","À venir"))))</f>
        <v>0</v>
      </c>
      <c r="M21" s="27"/>
      <c r="P21" cm="1">
        <f t="array" ref="P21">IFERROR(MATCH(SMALL(IF(tblEDT[N° jour]=WEEKDAY(TODAY(),2),tblEDT[Début]+ROW(tblEDT[Début])/100000),5),tblEDT[Début]+ROW(tblEDT[Début])/100000,0),0)</f>
        <v>0</v>
      </c>
    </row>
    <row r="22" spans="2:16">
      <c r="B22" s="30">
        <f>IF($P$22=0,"",TEXT(INDEX(tblEDT[Début],$P$22),"hh:mm")&amp;" – "&amp;TEXT(INDEX(tblEDT[Fin],$P$22),"hh:mm"))</f>
        <v>0</v>
      </c>
      <c r="C22" s="30"/>
      <c r="D22" s="31">
        <f>IF($P$22=0,"",INDEX(tblEDT[Code matière],$P$22))</f>
        <v>0</v>
      </c>
      <c r="E22" s="32">
        <f>IF($P$22=0,IF(5=0,"Pas de cours prévu aujourd'hui",""),INDEX(tblEDT[Matière],$P$22))</f>
        <v>0</v>
      </c>
      <c r="F22" s="32"/>
      <c r="G22" s="32"/>
      <c r="H22" s="32"/>
      <c r="I22" s="32">
        <f>IF($P$22=0,"",INDEX(tblEDT[Enseignant],$P$22))</f>
        <v>0</v>
      </c>
      <c r="J22" s="32"/>
      <c r="K22" s="30">
        <f>IF($P$22=0,"",INDEX(tblEDT[Salle],$P$22))</f>
        <v>0</v>
      </c>
      <c r="L22" s="30">
        <f>IF($P$22=0,"",IF(COUNTIFS(tblSeances[Date],TODAY(),tblSeances[Code matière],INDEX(tblEDT[Code matière],$P$22))&gt;0,"✔ Enregistré",IF(INDEX(tblEDT[Fin],$P$22)&lt;MOD(NOW(),1),"✖ Non saisi",IF(INDEX(tblEDT[Début],$P$22)&lt;=MOD(NOW(),1),"● En cours","À venir"))))</f>
        <v>0</v>
      </c>
      <c r="M22" s="30"/>
      <c r="P22" cm="1">
        <f t="array" ref="P22">IFERROR(MATCH(SMALL(IF(tblEDT[N° jour]=WEEKDAY(TODAY(),2),tblEDT[Début]+ROW(tblEDT[Début])/100000),6),tblEDT[Début]+ROW(tblEDT[Début])/100000,0),0)</f>
        <v>0</v>
      </c>
    </row>
    <row r="23" spans="2:16">
      <c r="B23" s="27">
        <f>IF($P$23=0,"",TEXT(INDEX(tblEDT[Début],$P$23),"hh:mm")&amp;" – "&amp;TEXT(INDEX(tblEDT[Fin],$P$23),"hh:mm"))</f>
        <v>0</v>
      </c>
      <c r="C23" s="27"/>
      <c r="D23" s="28">
        <f>IF($P$23=0,"",INDEX(tblEDT[Code matière],$P$23))</f>
        <v>0</v>
      </c>
      <c r="E23" s="29">
        <f>IF($P$23=0,IF(6=0,"Pas de cours prévu aujourd'hui",""),INDEX(tblEDT[Matière],$P$23))</f>
        <v>0</v>
      </c>
      <c r="F23" s="29"/>
      <c r="G23" s="29"/>
      <c r="H23" s="29"/>
      <c r="I23" s="29">
        <f>IF($P$23=0,"",INDEX(tblEDT[Enseignant],$P$23))</f>
        <v>0</v>
      </c>
      <c r="J23" s="29"/>
      <c r="K23" s="27">
        <f>IF($P$23=0,"",INDEX(tblEDT[Salle],$P$23))</f>
        <v>0</v>
      </c>
      <c r="L23" s="27">
        <f>IF($P$23=0,"",IF(COUNTIFS(tblSeances[Date],TODAY(),tblSeances[Code matière],INDEX(tblEDT[Code matière],$P$23))&gt;0,"✔ Enregistré",IF(INDEX(tblEDT[Fin],$P$23)&lt;MOD(NOW(),1),"✖ Non saisi",IF(INDEX(tblEDT[Début],$P$23)&lt;=MOD(NOW(),1),"● En cours","À venir"))))</f>
        <v>0</v>
      </c>
      <c r="M23" s="27"/>
      <c r="P23" cm="1">
        <f t="array" ref="P23">IFERROR(MATCH(SMALL(IF(tblEDT[N° jour]=WEEKDAY(TODAY(),2),tblEDT[Début]+ROW(tblEDT[Début])/100000),7),tblEDT[Début]+ROW(tblEDT[Début])/100000,0),0)</f>
        <v>0</v>
      </c>
    </row>
    <row r="24" spans="2:16">
      <c r="B24" s="30">
        <f>IF($P$24=0,"",TEXT(INDEX(tblEDT[Début],$P$24),"hh:mm")&amp;" – "&amp;TEXT(INDEX(tblEDT[Fin],$P$24),"hh:mm"))</f>
        <v>0</v>
      </c>
      <c r="C24" s="30"/>
      <c r="D24" s="31">
        <f>IF($P$24=0,"",INDEX(tblEDT[Code matière],$P$24))</f>
        <v>0</v>
      </c>
      <c r="E24" s="32">
        <f>IF($P$24=0,IF(7=0,"Pas de cours prévu aujourd'hui",""),INDEX(tblEDT[Matière],$P$24))</f>
        <v>0</v>
      </c>
      <c r="F24" s="32"/>
      <c r="G24" s="32"/>
      <c r="H24" s="32"/>
      <c r="I24" s="32">
        <f>IF($P$24=0,"",INDEX(tblEDT[Enseignant],$P$24))</f>
        <v>0</v>
      </c>
      <c r="J24" s="32"/>
      <c r="K24" s="30">
        <f>IF($P$24=0,"",INDEX(tblEDT[Salle],$P$24))</f>
        <v>0</v>
      </c>
      <c r="L24" s="30">
        <f>IF($P$24=0,"",IF(COUNTIFS(tblSeances[Date],TODAY(),tblSeances[Code matière],INDEX(tblEDT[Code matière],$P$24))&gt;0,"✔ Enregistré",IF(INDEX(tblEDT[Fin],$P$24)&lt;MOD(NOW(),1),"✖ Non saisi",IF(INDEX(tblEDT[Début],$P$24)&lt;=MOD(NOW(),1),"● En cours","À venir"))))</f>
        <v>0</v>
      </c>
      <c r="M24" s="30"/>
      <c r="P24" cm="1">
        <f t="array" ref="P24">IFERROR(MATCH(SMALL(IF(tblEDT[N° jour]=WEEKDAY(TODAY(),2),tblEDT[Début]+ROW(tblEDT[Début])/100000),8),tblEDT[Début]+ROW(tblEDT[Début])/100000,0),0)</f>
        <v>0</v>
      </c>
    </row>
    <row r="27" spans="2:16">
      <c r="B27" s="8" t="s">
        <v>18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44" spans="2:2">
      <c r="B44" s="33" t="s">
        <v>19</v>
      </c>
    </row>
  </sheetData>
  <sheetProtection password="D4C7" sheet="1" objects="1" scenarios="1" formatColumns="0" formatRows="0" autoFilter="0"/>
  <mergeCells count="68">
    <mergeCell ref="B2:M2"/>
    <mergeCell ref="B3:M3"/>
    <mergeCell ref="B4:H4"/>
    <mergeCell ref="I4:M4"/>
    <mergeCell ref="B6:G6"/>
    <mergeCell ref="I6:M6"/>
    <mergeCell ref="B7:G7"/>
    <mergeCell ref="I7:M7"/>
    <mergeCell ref="B8:G8"/>
    <mergeCell ref="I8:M8"/>
    <mergeCell ref="B9:G9"/>
    <mergeCell ref="I9:M9"/>
    <mergeCell ref="B11:C11"/>
    <mergeCell ref="B12:C12"/>
    <mergeCell ref="B13:C13"/>
    <mergeCell ref="D11:E11"/>
    <mergeCell ref="D12:E12"/>
    <mergeCell ref="D13:E13"/>
    <mergeCell ref="F11:G11"/>
    <mergeCell ref="F12:G12"/>
    <mergeCell ref="F13:G13"/>
    <mergeCell ref="H11:I11"/>
    <mergeCell ref="H12:I12"/>
    <mergeCell ref="H13:I13"/>
    <mergeCell ref="J11:K11"/>
    <mergeCell ref="J12:K12"/>
    <mergeCell ref="J13:K13"/>
    <mergeCell ref="L11:M11"/>
    <mergeCell ref="L12:M12"/>
    <mergeCell ref="L13:M13"/>
    <mergeCell ref="B15:M15"/>
    <mergeCell ref="B16:C16"/>
    <mergeCell ref="E16:H16"/>
    <mergeCell ref="I16:J16"/>
    <mergeCell ref="L16:M16"/>
    <mergeCell ref="B17:C17"/>
    <mergeCell ref="E17:H17"/>
    <mergeCell ref="I17:J17"/>
    <mergeCell ref="L17:M17"/>
    <mergeCell ref="B18:C18"/>
    <mergeCell ref="E18:H18"/>
    <mergeCell ref="I18:J18"/>
    <mergeCell ref="L18:M18"/>
    <mergeCell ref="B19:C19"/>
    <mergeCell ref="E19:H19"/>
    <mergeCell ref="I19:J19"/>
    <mergeCell ref="L19:M19"/>
    <mergeCell ref="B20:C20"/>
    <mergeCell ref="E20:H20"/>
    <mergeCell ref="I20:J20"/>
    <mergeCell ref="L20:M20"/>
    <mergeCell ref="B21:C21"/>
    <mergeCell ref="E21:H21"/>
    <mergeCell ref="I21:J21"/>
    <mergeCell ref="L21:M21"/>
    <mergeCell ref="B22:C22"/>
    <mergeCell ref="E22:H22"/>
    <mergeCell ref="I22:J22"/>
    <mergeCell ref="L22:M22"/>
    <mergeCell ref="B23:C23"/>
    <mergeCell ref="E23:H23"/>
    <mergeCell ref="I23:J23"/>
    <mergeCell ref="L23:M23"/>
    <mergeCell ref="B24:C24"/>
    <mergeCell ref="E24:H24"/>
    <mergeCell ref="I24:J24"/>
    <mergeCell ref="L24:M24"/>
    <mergeCell ref="B27:M27"/>
  </mergeCells>
  <conditionalFormatting sqref="B9">
    <cfRule type="expression" dxfId="0" priority="1">
      <formula>LEFT($B$9,1)="⚠"</formula>
    </cfRule>
  </conditionalFormatting>
  <conditionalFormatting sqref="L17:L24">
    <cfRule type="expression" dxfId="1" priority="2">
      <formula>LEFT($L17,1)="✔"</formula>
    </cfRule>
    <cfRule type="expression" dxfId="2" priority="3">
      <formula>LEFT($L17,1)="✖"</formula>
    </cfRule>
    <cfRule type="expression" dxfId="3" priority="4">
      <formula>LEFT($L17,1)="●"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Guide">
    <tabColor rgb="FFBF9000"/>
  </sheetPr>
  <dimension ref="A1:E49"/>
  <sheetViews>
    <sheetView showGridLines="0" zoomScale="90" zoomScaleNormal="90" workbookViewId="0"/>
  </sheetViews>
  <sheetFormatPr defaultRowHeight="15"/>
  <cols>
    <col min="1" max="1" width="2.7109375" customWidth="1"/>
    <col min="2" max="2" width="5.7109375" customWidth="1"/>
    <col min="3" max="3" width="120.7109375" customWidth="1"/>
    <col min="4" max="4" width="3.7109375" customWidth="1"/>
    <col min="5" max="5" width="22.7109375" customWidth="1"/>
  </cols>
  <sheetData>
    <row r="1" spans="2:5" ht="8" customHeight="1">
      <c r="B1" s="1" t="s">
        <v>1</v>
      </c>
      <c r="C1" s="1" t="s">
        <v>2</v>
      </c>
    </row>
    <row r="2" spans="2:5" ht="34" customHeight="1">
      <c r="B2" s="2" t="s">
        <v>20</v>
      </c>
      <c r="C2" s="2"/>
      <c r="D2" s="2"/>
      <c r="E2" s="2"/>
    </row>
    <row r="3" spans="2:5" ht="26" customHeight="1">
      <c r="B3" s="4" t="s">
        <v>21</v>
      </c>
      <c r="C3" s="4"/>
      <c r="D3" s="4"/>
      <c r="E3" s="4"/>
    </row>
    <row r="5" spans="2:5" ht="24" customHeight="1">
      <c r="B5" s="34" t="s">
        <v>22</v>
      </c>
      <c r="C5" s="35" t="s">
        <v>23</v>
      </c>
      <c r="D5" s="36"/>
      <c r="E5" s="36"/>
    </row>
    <row r="6" spans="2:5" ht="40" customHeight="1">
      <c r="B6" s="37">
        <v>1</v>
      </c>
      <c r="C6" s="38" t="s">
        <v>24</v>
      </c>
      <c r="D6" s="38"/>
      <c r="E6" s="38"/>
    </row>
    <row r="7" spans="2:5" ht="23" customHeight="1">
      <c r="B7" s="37">
        <v>2</v>
      </c>
      <c r="C7" s="38" t="s">
        <v>25</v>
      </c>
      <c r="D7" s="38"/>
      <c r="E7" s="38"/>
    </row>
    <row r="8" spans="2:5" ht="40" customHeight="1">
      <c r="B8" s="37">
        <v>3</v>
      </c>
      <c r="C8" s="38" t="s">
        <v>26</v>
      </c>
      <c r="D8" s="38"/>
      <c r="E8" s="38"/>
    </row>
    <row r="9" spans="2:5" ht="40" customHeight="1">
      <c r="B9" s="37">
        <v>4</v>
      </c>
      <c r="C9" s="38" t="s">
        <v>27</v>
      </c>
      <c r="D9" s="38"/>
      <c r="E9" s="38"/>
    </row>
    <row r="11" spans="2:5" ht="24" customHeight="1">
      <c r="B11" s="39" t="s">
        <v>28</v>
      </c>
      <c r="C11" s="40" t="s">
        <v>29</v>
      </c>
      <c r="D11" s="41"/>
      <c r="E11" s="42" t="s">
        <v>30</v>
      </c>
    </row>
    <row r="12" spans="2:5" ht="57" customHeight="1">
      <c r="B12" s="43">
        <v>1</v>
      </c>
      <c r="C12" s="38" t="s">
        <v>31</v>
      </c>
      <c r="D12" s="38"/>
      <c r="E12" s="38"/>
    </row>
    <row r="13" spans="2:5" ht="40" customHeight="1">
      <c r="B13" s="43">
        <v>2</v>
      </c>
      <c r="C13" s="38" t="s">
        <v>32</v>
      </c>
      <c r="D13" s="38"/>
      <c r="E13" s="38"/>
    </row>
    <row r="14" spans="2:5" ht="23" customHeight="1">
      <c r="B14" s="43">
        <v>3</v>
      </c>
      <c r="C14" s="38" t="s">
        <v>33</v>
      </c>
      <c r="D14" s="38"/>
      <c r="E14" s="38"/>
    </row>
    <row r="15" spans="2:5" ht="57" customHeight="1">
      <c r="B15" s="43">
        <v>4</v>
      </c>
      <c r="C15" s="38" t="s">
        <v>34</v>
      </c>
      <c r="D15" s="38"/>
      <c r="E15" s="38"/>
    </row>
    <row r="16" spans="2:5" ht="40" customHeight="1">
      <c r="B16" s="43">
        <v>5</v>
      </c>
      <c r="C16" s="38" t="s">
        <v>35</v>
      </c>
      <c r="D16" s="38"/>
      <c r="E16" s="38"/>
    </row>
    <row r="17" spans="2:5" ht="23" customHeight="1">
      <c r="B17" s="43">
        <v>6</v>
      </c>
      <c r="C17" s="38" t="s">
        <v>36</v>
      </c>
      <c r="D17" s="38"/>
      <c r="E17" s="38"/>
    </row>
    <row r="18" spans="2:5" ht="23" customHeight="1">
      <c r="B18" s="43">
        <v>7</v>
      </c>
      <c r="C18" s="38" t="s">
        <v>37</v>
      </c>
      <c r="D18" s="38"/>
      <c r="E18" s="38"/>
    </row>
    <row r="20" spans="2:5" ht="24" customHeight="1">
      <c r="B20" s="44" t="s">
        <v>38</v>
      </c>
      <c r="C20" s="45" t="s">
        <v>39</v>
      </c>
      <c r="D20" s="46"/>
      <c r="E20" s="47" t="s">
        <v>40</v>
      </c>
    </row>
    <row r="21" spans="2:5" ht="23" customHeight="1">
      <c r="B21" s="48">
        <v>1</v>
      </c>
      <c r="C21" s="38" t="s">
        <v>41</v>
      </c>
      <c r="D21" s="38"/>
      <c r="E21" s="38"/>
    </row>
    <row r="22" spans="2:5" ht="23" customHeight="1">
      <c r="B22" s="48">
        <v>2</v>
      </c>
      <c r="C22" s="38" t="s">
        <v>42</v>
      </c>
      <c r="D22" s="38"/>
      <c r="E22" s="38"/>
    </row>
    <row r="23" spans="2:5" ht="40" customHeight="1">
      <c r="B23" s="48">
        <v>3</v>
      </c>
      <c r="C23" s="38" t="s">
        <v>43</v>
      </c>
      <c r="D23" s="38"/>
      <c r="E23" s="38"/>
    </row>
    <row r="25" spans="2:5" ht="24" customHeight="1">
      <c r="B25" s="44" t="s">
        <v>44</v>
      </c>
      <c r="C25" s="45" t="s">
        <v>45</v>
      </c>
      <c r="D25" s="46"/>
      <c r="E25" s="47" t="s">
        <v>46</v>
      </c>
    </row>
    <row r="26" spans="2:5" ht="40" customHeight="1">
      <c r="B26" s="48">
        <v>1</v>
      </c>
      <c r="C26" s="38" t="s">
        <v>47</v>
      </c>
      <c r="D26" s="38"/>
      <c r="E26" s="38"/>
    </row>
    <row r="27" spans="2:5" ht="40" customHeight="1">
      <c r="B27" s="48">
        <v>2</v>
      </c>
      <c r="C27" s="38" t="s">
        <v>48</v>
      </c>
      <c r="D27" s="38"/>
      <c r="E27" s="38"/>
    </row>
    <row r="28" spans="2:5" ht="57" customHeight="1">
      <c r="B28" s="48">
        <v>3</v>
      </c>
      <c r="C28" s="38" t="s">
        <v>49</v>
      </c>
      <c r="D28" s="38"/>
      <c r="E28" s="38"/>
    </row>
    <row r="30" spans="2:5" ht="24" customHeight="1">
      <c r="B30" s="49" t="s">
        <v>50</v>
      </c>
      <c r="C30" s="50" t="s">
        <v>51</v>
      </c>
      <c r="D30" s="51"/>
      <c r="E30" s="52" t="s">
        <v>52</v>
      </c>
    </row>
    <row r="31" spans="2:5" ht="40" customHeight="1">
      <c r="B31" s="53">
        <v>1</v>
      </c>
      <c r="C31" s="38" t="s">
        <v>53</v>
      </c>
      <c r="D31" s="38"/>
      <c r="E31" s="38"/>
    </row>
    <row r="32" spans="2:5" ht="23" customHeight="1">
      <c r="B32" s="53">
        <v>2</v>
      </c>
      <c r="C32" s="38" t="s">
        <v>54</v>
      </c>
      <c r="D32" s="38"/>
      <c r="E32" s="38"/>
    </row>
    <row r="33" spans="2:5" ht="40" customHeight="1">
      <c r="B33" s="53">
        <v>3</v>
      </c>
      <c r="C33" s="38" t="s">
        <v>55</v>
      </c>
      <c r="D33" s="38"/>
      <c r="E33" s="38"/>
    </row>
    <row r="35" spans="2:5" ht="24" customHeight="1">
      <c r="B35" s="49" t="s">
        <v>56</v>
      </c>
      <c r="C35" s="50" t="s">
        <v>57</v>
      </c>
      <c r="D35" s="51"/>
      <c r="E35" s="52" t="s">
        <v>58</v>
      </c>
    </row>
    <row r="36" spans="2:5" ht="40" customHeight="1">
      <c r="B36" s="53">
        <v>1</v>
      </c>
      <c r="C36" s="38" t="s">
        <v>59</v>
      </c>
      <c r="D36" s="38"/>
      <c r="E36" s="38"/>
    </row>
    <row r="37" spans="2:5" ht="23" customHeight="1">
      <c r="B37" s="53">
        <v>2</v>
      </c>
      <c r="C37" s="38" t="s">
        <v>60</v>
      </c>
      <c r="D37" s="38"/>
      <c r="E37" s="38"/>
    </row>
    <row r="39" spans="2:5" ht="24" customHeight="1">
      <c r="B39" s="54" t="s">
        <v>61</v>
      </c>
      <c r="C39" s="55" t="s">
        <v>62</v>
      </c>
      <c r="D39" s="56"/>
      <c r="E39" s="56"/>
    </row>
    <row r="40" spans="2:5" ht="40" customHeight="1">
      <c r="B40" s="57">
        <v>1</v>
      </c>
      <c r="C40" s="38" t="s">
        <v>63</v>
      </c>
      <c r="D40" s="38"/>
      <c r="E40" s="38"/>
    </row>
    <row r="41" spans="2:5" ht="23" customHeight="1">
      <c r="B41" s="57">
        <v>2</v>
      </c>
      <c r="C41" s="38" t="s">
        <v>64</v>
      </c>
      <c r="D41" s="38"/>
      <c r="E41" s="38"/>
    </row>
    <row r="42" spans="2:5" ht="23" customHeight="1">
      <c r="B42" s="57">
        <v>3</v>
      </c>
      <c r="C42" s="38" t="s">
        <v>65</v>
      </c>
      <c r="D42" s="38"/>
      <c r="E42" s="38"/>
    </row>
    <row r="43" spans="2:5" ht="23" customHeight="1">
      <c r="B43" s="57">
        <v>4</v>
      </c>
      <c r="C43" s="38" t="s">
        <v>66</v>
      </c>
      <c r="D43" s="38"/>
      <c r="E43" s="38"/>
    </row>
    <row r="45" spans="2:5">
      <c r="C45" s="58" t="s">
        <v>67</v>
      </c>
    </row>
    <row r="46" spans="2:5">
      <c r="B46" s="59" t="s">
        <v>68</v>
      </c>
      <c r="C46" s="60" t="s">
        <v>69</v>
      </c>
    </row>
    <row r="47" spans="2:5">
      <c r="B47" s="61" t="s">
        <v>22</v>
      </c>
      <c r="C47" s="60" t="s">
        <v>70</v>
      </c>
    </row>
    <row r="48" spans="2:5">
      <c r="B48" s="62" t="s">
        <v>71</v>
      </c>
      <c r="C48" s="60" t="s">
        <v>72</v>
      </c>
    </row>
    <row r="49" spans="2:3">
      <c r="B49" s="63" t="s">
        <v>50</v>
      </c>
      <c r="C49" s="60" t="s">
        <v>73</v>
      </c>
    </row>
  </sheetData>
  <sheetProtection password="D4C7" sheet="1" objects="1" scenarios="1" formatColumns="0" formatRows="0" autoFilter="0"/>
  <mergeCells count="28">
    <mergeCell ref="B2:E2"/>
    <mergeCell ref="B3:E3"/>
    <mergeCell ref="C6:E6"/>
    <mergeCell ref="C7:E7"/>
    <mergeCell ref="C8:E8"/>
    <mergeCell ref="C9:E9"/>
    <mergeCell ref="C12:E12"/>
    <mergeCell ref="C13:E13"/>
    <mergeCell ref="C14:E14"/>
    <mergeCell ref="C15:E15"/>
    <mergeCell ref="C16:E16"/>
    <mergeCell ref="C17:E17"/>
    <mergeCell ref="C18:E18"/>
    <mergeCell ref="C21:E21"/>
    <mergeCell ref="C22:E22"/>
    <mergeCell ref="C23:E23"/>
    <mergeCell ref="C26:E26"/>
    <mergeCell ref="C27:E27"/>
    <mergeCell ref="C28:E28"/>
    <mergeCell ref="C31:E31"/>
    <mergeCell ref="C32:E32"/>
    <mergeCell ref="C33:E33"/>
    <mergeCell ref="C36:E36"/>
    <mergeCell ref="C37:E37"/>
    <mergeCell ref="C40:E40"/>
    <mergeCell ref="C41:E41"/>
    <mergeCell ref="C42:E42"/>
    <mergeCell ref="C43:E43"/>
  </mergeCells>
  <hyperlinks>
    <hyperlink ref="B1" location="'ACCUEIL'!A1" display="⌂ Accueil"/>
    <hyperlink ref="C1" location="'MODE D''EMPLOI'!A1" display="?  Mode d'emploi"/>
    <hyperlink ref="E11" location="'COURS DU JOUR'!A1" display="Ouvrir cours du jour ›"/>
    <hyperlink ref="E20" location="'EXPOSÉS'!A1" display="Ouvrir exposés ›"/>
    <hyperlink ref="E25" location="'RAPPORTS'!A1" display="Ouvrir rapports ›"/>
    <hyperlink ref="E30" location="'FICHE ÉTUDIANT'!A1" display="Ouvrir fiche étudiant ›"/>
    <hyperlink ref="E35" location="'EXPORT PDF'!A1" display="Ouvrir export pdf ›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Saisie">
    <tabColor rgb="FFED7D31"/>
  </sheetPr>
  <dimension ref="A1:N221"/>
  <sheetViews>
    <sheetView showGridLines="0" zoomScale="90" zoomScaleNormal="90" workbookViewId="0">
      <pane ySplit="21" topLeftCell="A22" activePane="bottomLeft" state="frozen"/>
      <selection pane="bottomLeft" activeCell="C7" sqref="C7"/>
    </sheetView>
  </sheetViews>
  <sheetFormatPr defaultRowHeight="15"/>
  <cols>
    <col min="1" max="1" width="2.7109375" customWidth="1"/>
    <col min="2" max="2" width="21.7109375" customWidth="1"/>
    <col min="3" max="3" width="34.7109375" customWidth="1"/>
    <col min="4" max="4" width="12.7109375" customWidth="1"/>
    <col min="5" max="5" width="9.7109375" customWidth="1"/>
    <col min="6" max="6" width="10.7109375" customWidth="1"/>
    <col min="7" max="7" width="30.7109375" customWidth="1"/>
    <col min="8" max="13" width="11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74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75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76</v>
      </c>
      <c r="C5" s="8"/>
      <c r="D5" s="8"/>
      <c r="E5" s="8"/>
      <c r="F5" s="8"/>
      <c r="H5" s="8" t="s">
        <v>77</v>
      </c>
      <c r="I5" s="8"/>
      <c r="J5" s="8"/>
      <c r="K5" s="8"/>
      <c r="L5" s="8"/>
      <c r="M5" s="8"/>
    </row>
    <row r="6" spans="2:14" ht="21" customHeight="1">
      <c r="B6" s="64" t="s">
        <v>78</v>
      </c>
      <c r="C6" s="65"/>
      <c r="D6" s="3">
        <f>IF(C6="","○ Nouvelle séance (non enregistrée)","✔ Séance enregistrée")</f>
        <v>0</v>
      </c>
      <c r="E6" s="3"/>
      <c r="F6" s="3"/>
      <c r="H6" s="64" t="s">
        <v>88</v>
      </c>
      <c r="I6" s="64"/>
      <c r="J6" s="64"/>
      <c r="K6" s="64"/>
      <c r="L6" s="64"/>
      <c r="M6" s="64"/>
    </row>
    <row r="7" spans="2:14" ht="21" customHeight="1">
      <c r="B7" s="64" t="s">
        <v>79</v>
      </c>
      <c r="C7" s="65"/>
      <c r="D7" s="66" cm="1">
        <f t="array" ref="D7">IFERROR(_xlfn.XLOOKUP(LEFT(C7,FIND(" ",C7&amp;" ")-1),tblMatieres[Code],tblMatieres[Intitulé]),"")</f>
        <v>0</v>
      </c>
      <c r="E7" s="3"/>
      <c r="F7" s="3"/>
      <c r="H7" s="67"/>
      <c r="I7" s="67"/>
      <c r="J7" s="67"/>
      <c r="K7" s="67"/>
      <c r="L7" s="67"/>
      <c r="M7" s="67"/>
    </row>
    <row r="8" spans="2:14" ht="21" customHeight="1">
      <c r="B8" s="64" t="s">
        <v>80</v>
      </c>
      <c r="C8" s="68"/>
      <c r="D8" s="3">
        <f>IF(C8="","",CHOOSE(WEEKDAY(C8,2),"Lundi","Mardi","Mercredi","Jeudi","Vendredi","Samedi","Dimanche"))</f>
        <v>0</v>
      </c>
      <c r="E8" s="3"/>
      <c r="F8" s="3"/>
      <c r="H8" s="67"/>
      <c r="I8" s="67"/>
      <c r="J8" s="67"/>
      <c r="K8" s="67"/>
      <c r="L8" s="67"/>
      <c r="M8" s="67"/>
    </row>
    <row r="9" spans="2:14" ht="21" customHeight="1">
      <c r="B9" s="64" t="s">
        <v>81</v>
      </c>
      <c r="C9" s="69"/>
      <c r="D9" s="3" t="s">
        <v>87</v>
      </c>
      <c r="E9" s="3"/>
      <c r="F9" s="3"/>
      <c r="H9" s="67"/>
      <c r="I9" s="67"/>
      <c r="J9" s="67"/>
      <c r="K9" s="67"/>
      <c r="L9" s="67"/>
      <c r="M9" s="67"/>
    </row>
    <row r="10" spans="2:14" ht="21" customHeight="1">
      <c r="B10" s="64" t="s">
        <v>82</v>
      </c>
      <c r="C10" s="69"/>
      <c r="D10" s="3">
        <f>IF(OR(C9="",C10=""),"","Durée : "&amp;TEXT(MOD(C10-C9,1),"[h]:mm"))</f>
        <v>0</v>
      </c>
      <c r="E10" s="3"/>
      <c r="F10" s="3"/>
      <c r="H10" s="67"/>
      <c r="I10" s="67"/>
      <c r="J10" s="67"/>
      <c r="K10" s="67"/>
      <c r="L10" s="67"/>
      <c r="M10" s="67"/>
    </row>
    <row r="11" spans="2:14" ht="21" customHeight="1">
      <c r="B11" s="64" t="s">
        <v>83</v>
      </c>
      <c r="C11" s="70" cm="1">
        <f t="array" ref="C11">IFERROR(_xlfn.XLOOKUP(LEFT(C7,FIND(" ",C7&amp;" ")-1),tblMatieres[Code],tblMatieres[Enseignant(s)]),"")</f>
        <v>0</v>
      </c>
      <c r="D11" s="70"/>
      <c r="E11" s="70"/>
      <c r="F11" s="70"/>
      <c r="H11" s="64" t="s">
        <v>89</v>
      </c>
      <c r="I11" s="64"/>
      <c r="J11" s="64"/>
      <c r="K11" s="64"/>
      <c r="L11" s="64"/>
      <c r="M11" s="64"/>
    </row>
    <row r="12" spans="2:14" ht="21" customHeight="1">
      <c r="B12" s="64" t="s">
        <v>84</v>
      </c>
      <c r="C12" s="65"/>
      <c r="D12" s="3"/>
      <c r="E12" s="3"/>
      <c r="F12" s="3"/>
      <c r="H12" s="67"/>
      <c r="I12" s="67"/>
      <c r="J12" s="67"/>
      <c r="K12" s="67"/>
      <c r="L12" s="67"/>
      <c r="M12" s="67"/>
    </row>
    <row r="13" spans="2:14" ht="21" customHeight="1">
      <c r="B13" s="64" t="s">
        <v>85</v>
      </c>
      <c r="C13" s="65"/>
      <c r="D13" s="65"/>
      <c r="E13" s="65"/>
      <c r="F13" s="65"/>
      <c r="H13" s="67"/>
      <c r="I13" s="67"/>
      <c r="J13" s="67"/>
      <c r="K13" s="67"/>
      <c r="L13" s="67"/>
      <c r="M13" s="67"/>
    </row>
    <row r="14" spans="2:14" ht="21" customHeight="1">
      <c r="B14" s="64" t="s">
        <v>86</v>
      </c>
      <c r="C14" s="65"/>
      <c r="D14" s="3"/>
      <c r="E14" s="3"/>
      <c r="F14" s="3"/>
      <c r="H14" s="64" t="s">
        <v>90</v>
      </c>
      <c r="I14" s="71"/>
      <c r="J14" s="71"/>
      <c r="K14" s="71"/>
      <c r="L14" s="71"/>
      <c r="M14" s="71"/>
    </row>
    <row r="16" spans="2:14" ht="42" customHeight="1"/>
    <row r="18" spans="2:13">
      <c r="B18" s="8" t="s">
        <v>91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2:13">
      <c r="B19" s="64" t="s">
        <v>92</v>
      </c>
      <c r="C19" s="65"/>
      <c r="D19" s="3" t="s">
        <v>93</v>
      </c>
      <c r="E19" s="3"/>
      <c r="F19" s="3"/>
      <c r="H19" s="72" t="s">
        <v>95</v>
      </c>
      <c r="I19" s="73" t="s">
        <v>96</v>
      </c>
      <c r="J19" s="74" t="s">
        <v>97</v>
      </c>
      <c r="K19" s="75" t="s">
        <v>98</v>
      </c>
      <c r="L19" s="76" t="s">
        <v>99</v>
      </c>
      <c r="M19" s="77" t="s">
        <v>100</v>
      </c>
    </row>
    <row r="20" spans="2:13" ht="26" customHeight="1">
      <c r="B20" s="3" t="s">
        <v>94</v>
      </c>
      <c r="C20" s="3"/>
      <c r="D20" s="3"/>
      <c r="E20" s="3"/>
      <c r="F20" s="3"/>
      <c r="H20" s="78">
        <f>COUNTIF($E$22:$E$221,"P")</f>
        <v>0</v>
      </c>
      <c r="I20" s="79">
        <f>COUNTIF($E$22:$E$221,"A")</f>
        <v>0</v>
      </c>
      <c r="J20" s="80">
        <f>COUNTIF($E$22:$E$221,"R")</f>
        <v>0</v>
      </c>
      <c r="K20" s="81">
        <f>COUNTIF($E$22:$E$221,"E")</f>
        <v>0</v>
      </c>
      <c r="L20" s="82">
        <f>COUNTA($C$22:$C$221)-COUNTA($E$22:$E$221)</f>
        <v>0</v>
      </c>
      <c r="M20" s="83">
        <f>IFERROR((H20+J20)/(H20+I20+J20+K20),"")</f>
        <v>0</v>
      </c>
    </row>
    <row r="21" spans="2:13" ht="22" customHeight="1">
      <c r="B21" s="84" t="s">
        <v>101</v>
      </c>
      <c r="C21" s="84" t="s">
        <v>102</v>
      </c>
      <c r="D21" s="84" t="s">
        <v>103</v>
      </c>
      <c r="E21" s="84" t="s">
        <v>104</v>
      </c>
      <c r="F21" s="84" t="s">
        <v>105</v>
      </c>
      <c r="G21" s="84" t="s">
        <v>106</v>
      </c>
    </row>
    <row r="22" spans="2:13">
      <c r="B22" s="85"/>
      <c r="C22" s="86"/>
      <c r="D22" s="87"/>
      <c r="E22" s="88"/>
      <c r="F22" s="89"/>
      <c r="G22" s="90"/>
      <c r="I22" s="59" t="s">
        <v>68</v>
      </c>
      <c r="J22" s="91" t="s">
        <v>69</v>
      </c>
      <c r="K22" s="91"/>
    </row>
    <row r="23" spans="2:13">
      <c r="B23" s="92"/>
      <c r="C23" s="93"/>
      <c r="D23" s="94"/>
      <c r="E23" s="95"/>
      <c r="F23" s="96"/>
      <c r="G23" s="97"/>
      <c r="I23" s="61" t="s">
        <v>22</v>
      </c>
      <c r="J23" s="91" t="s">
        <v>70</v>
      </c>
      <c r="K23" s="91"/>
    </row>
    <row r="24" spans="2:13">
      <c r="B24" s="85"/>
      <c r="C24" s="86"/>
      <c r="D24" s="87"/>
      <c r="E24" s="88"/>
      <c r="F24" s="89"/>
      <c r="G24" s="90"/>
      <c r="I24" s="62" t="s">
        <v>71</v>
      </c>
      <c r="J24" s="91" t="s">
        <v>72</v>
      </c>
      <c r="K24" s="91"/>
    </row>
    <row r="25" spans="2:13">
      <c r="B25" s="92"/>
      <c r="C25" s="93"/>
      <c r="D25" s="94"/>
      <c r="E25" s="95"/>
      <c r="F25" s="96"/>
      <c r="G25" s="97"/>
      <c r="I25" s="63" t="s">
        <v>50</v>
      </c>
      <c r="J25" s="91" t="s">
        <v>73</v>
      </c>
      <c r="K25" s="91"/>
    </row>
    <row r="26" spans="2:13">
      <c r="B26" s="85"/>
      <c r="C26" s="86"/>
      <c r="D26" s="87"/>
      <c r="E26" s="88"/>
      <c r="F26" s="89"/>
      <c r="G26" s="90"/>
    </row>
    <row r="27" spans="2:13">
      <c r="B27" s="92"/>
      <c r="C27" s="93"/>
      <c r="D27" s="94"/>
      <c r="E27" s="95"/>
      <c r="F27" s="96"/>
      <c r="G27" s="97"/>
    </row>
    <row r="28" spans="2:13">
      <c r="B28" s="85"/>
      <c r="C28" s="86"/>
      <c r="D28" s="87"/>
      <c r="E28" s="88"/>
      <c r="F28" s="89"/>
      <c r="G28" s="90"/>
    </row>
    <row r="29" spans="2:13">
      <c r="B29" s="92"/>
      <c r="C29" s="93"/>
      <c r="D29" s="94"/>
      <c r="E29" s="95"/>
      <c r="F29" s="96"/>
      <c r="G29" s="97"/>
    </row>
    <row r="30" spans="2:13">
      <c r="B30" s="85"/>
      <c r="C30" s="86"/>
      <c r="D30" s="87"/>
      <c r="E30" s="88"/>
      <c r="F30" s="89"/>
      <c r="G30" s="90"/>
    </row>
    <row r="31" spans="2:13">
      <c r="B31" s="92"/>
      <c r="C31" s="93"/>
      <c r="D31" s="94"/>
      <c r="E31" s="95"/>
      <c r="F31" s="96"/>
      <c r="G31" s="97"/>
    </row>
    <row r="32" spans="2:13">
      <c r="B32" s="85"/>
      <c r="C32" s="86"/>
      <c r="D32" s="87"/>
      <c r="E32" s="88"/>
      <c r="F32" s="89"/>
      <c r="G32" s="90"/>
    </row>
    <row r="33" spans="2:7">
      <c r="B33" s="92"/>
      <c r="C33" s="93"/>
      <c r="D33" s="94"/>
      <c r="E33" s="95"/>
      <c r="F33" s="96"/>
      <c r="G33" s="97"/>
    </row>
    <row r="34" spans="2:7">
      <c r="B34" s="85"/>
      <c r="C34" s="86"/>
      <c r="D34" s="87"/>
      <c r="E34" s="88"/>
      <c r="F34" s="89"/>
      <c r="G34" s="90"/>
    </row>
    <row r="35" spans="2:7">
      <c r="B35" s="92"/>
      <c r="C35" s="93"/>
      <c r="D35" s="94"/>
      <c r="E35" s="95"/>
      <c r="F35" s="96"/>
      <c r="G35" s="97"/>
    </row>
    <row r="36" spans="2:7">
      <c r="B36" s="85"/>
      <c r="C36" s="86"/>
      <c r="D36" s="87"/>
      <c r="E36" s="88"/>
      <c r="F36" s="89"/>
      <c r="G36" s="90"/>
    </row>
    <row r="37" spans="2:7">
      <c r="B37" s="92"/>
      <c r="C37" s="93"/>
      <c r="D37" s="94"/>
      <c r="E37" s="95"/>
      <c r="F37" s="96"/>
      <c r="G37" s="97"/>
    </row>
    <row r="38" spans="2:7">
      <c r="B38" s="85"/>
      <c r="C38" s="86"/>
      <c r="D38" s="87"/>
      <c r="E38" s="88"/>
      <c r="F38" s="89"/>
      <c r="G38" s="90"/>
    </row>
    <row r="39" spans="2:7">
      <c r="B39" s="92"/>
      <c r="C39" s="93"/>
      <c r="D39" s="94"/>
      <c r="E39" s="95"/>
      <c r="F39" s="96"/>
      <c r="G39" s="97"/>
    </row>
    <row r="40" spans="2:7">
      <c r="B40" s="85"/>
      <c r="C40" s="86"/>
      <c r="D40" s="87"/>
      <c r="E40" s="88"/>
      <c r="F40" s="89"/>
      <c r="G40" s="90"/>
    </row>
    <row r="41" spans="2:7">
      <c r="B41" s="92"/>
      <c r="C41" s="93"/>
      <c r="D41" s="94"/>
      <c r="E41" s="95"/>
      <c r="F41" s="96"/>
      <c r="G41" s="97"/>
    </row>
    <row r="42" spans="2:7">
      <c r="B42" s="85"/>
      <c r="C42" s="86"/>
      <c r="D42" s="87"/>
      <c r="E42" s="88"/>
      <c r="F42" s="89"/>
      <c r="G42" s="90"/>
    </row>
    <row r="43" spans="2:7">
      <c r="B43" s="92"/>
      <c r="C43" s="93"/>
      <c r="D43" s="94"/>
      <c r="E43" s="95"/>
      <c r="F43" s="96"/>
      <c r="G43" s="97"/>
    </row>
    <row r="44" spans="2:7">
      <c r="B44" s="85"/>
      <c r="C44" s="86"/>
      <c r="D44" s="87"/>
      <c r="E44" s="88"/>
      <c r="F44" s="89"/>
      <c r="G44" s="90"/>
    </row>
    <row r="45" spans="2:7">
      <c r="B45" s="92"/>
      <c r="C45" s="93"/>
      <c r="D45" s="94"/>
      <c r="E45" s="95"/>
      <c r="F45" s="96"/>
      <c r="G45" s="97"/>
    </row>
    <row r="46" spans="2:7">
      <c r="B46" s="85"/>
      <c r="C46" s="86"/>
      <c r="D46" s="87"/>
      <c r="E46" s="88"/>
      <c r="F46" s="89"/>
      <c r="G46" s="90"/>
    </row>
    <row r="47" spans="2:7">
      <c r="B47" s="92"/>
      <c r="C47" s="93"/>
      <c r="D47" s="94"/>
      <c r="E47" s="95"/>
      <c r="F47" s="96"/>
      <c r="G47" s="97"/>
    </row>
    <row r="48" spans="2:7">
      <c r="B48" s="85"/>
      <c r="C48" s="86"/>
      <c r="D48" s="87"/>
      <c r="E48" s="88"/>
      <c r="F48" s="89"/>
      <c r="G48" s="90"/>
    </row>
    <row r="49" spans="2:7">
      <c r="B49" s="92"/>
      <c r="C49" s="93"/>
      <c r="D49" s="94"/>
      <c r="E49" s="95"/>
      <c r="F49" s="96"/>
      <c r="G49" s="97"/>
    </row>
    <row r="50" spans="2:7">
      <c r="B50" s="85"/>
      <c r="C50" s="86"/>
      <c r="D50" s="87"/>
      <c r="E50" s="88"/>
      <c r="F50" s="89"/>
      <c r="G50" s="90"/>
    </row>
    <row r="51" spans="2:7">
      <c r="B51" s="92"/>
      <c r="C51" s="93"/>
      <c r="D51" s="94"/>
      <c r="E51" s="95"/>
      <c r="F51" s="96"/>
      <c r="G51" s="97"/>
    </row>
    <row r="52" spans="2:7">
      <c r="B52" s="85"/>
      <c r="C52" s="86"/>
      <c r="D52" s="87"/>
      <c r="E52" s="88"/>
      <c r="F52" s="89"/>
      <c r="G52" s="90"/>
    </row>
    <row r="53" spans="2:7">
      <c r="B53" s="92"/>
      <c r="C53" s="93"/>
      <c r="D53" s="94"/>
      <c r="E53" s="95"/>
      <c r="F53" s="96"/>
      <c r="G53" s="97"/>
    </row>
    <row r="54" spans="2:7">
      <c r="B54" s="85"/>
      <c r="C54" s="86"/>
      <c r="D54" s="87"/>
      <c r="E54" s="88"/>
      <c r="F54" s="89"/>
      <c r="G54" s="90"/>
    </row>
    <row r="55" spans="2:7">
      <c r="B55" s="92"/>
      <c r="C55" s="93"/>
      <c r="D55" s="94"/>
      <c r="E55" s="95"/>
      <c r="F55" s="96"/>
      <c r="G55" s="97"/>
    </row>
    <row r="56" spans="2:7">
      <c r="B56" s="85"/>
      <c r="C56" s="86"/>
      <c r="D56" s="87"/>
      <c r="E56" s="88"/>
      <c r="F56" s="89"/>
      <c r="G56" s="90"/>
    </row>
    <row r="57" spans="2:7">
      <c r="B57" s="92"/>
      <c r="C57" s="93"/>
      <c r="D57" s="94"/>
      <c r="E57" s="95"/>
      <c r="F57" s="96"/>
      <c r="G57" s="97"/>
    </row>
    <row r="58" spans="2:7">
      <c r="B58" s="85"/>
      <c r="C58" s="86"/>
      <c r="D58" s="87"/>
      <c r="E58" s="88"/>
      <c r="F58" s="89"/>
      <c r="G58" s="90"/>
    </row>
    <row r="59" spans="2:7">
      <c r="B59" s="92"/>
      <c r="C59" s="93"/>
      <c r="D59" s="94"/>
      <c r="E59" s="95"/>
      <c r="F59" s="96"/>
      <c r="G59" s="97"/>
    </row>
    <row r="60" spans="2:7">
      <c r="B60" s="85"/>
      <c r="C60" s="86"/>
      <c r="D60" s="87"/>
      <c r="E60" s="88"/>
      <c r="F60" s="89"/>
      <c r="G60" s="90"/>
    </row>
    <row r="61" spans="2:7">
      <c r="B61" s="92"/>
      <c r="C61" s="93"/>
      <c r="D61" s="94"/>
      <c r="E61" s="95"/>
      <c r="F61" s="96"/>
      <c r="G61" s="97"/>
    </row>
    <row r="62" spans="2:7">
      <c r="B62" s="85"/>
      <c r="C62" s="86"/>
      <c r="D62" s="87"/>
      <c r="E62" s="88"/>
      <c r="F62" s="89"/>
      <c r="G62" s="90"/>
    </row>
    <row r="63" spans="2:7">
      <c r="B63" s="92"/>
      <c r="C63" s="93"/>
      <c r="D63" s="94"/>
      <c r="E63" s="95"/>
      <c r="F63" s="96"/>
      <c r="G63" s="97"/>
    </row>
    <row r="64" spans="2:7">
      <c r="B64" s="85"/>
      <c r="C64" s="86"/>
      <c r="D64" s="87"/>
      <c r="E64" s="88"/>
      <c r="F64" s="89"/>
      <c r="G64" s="90"/>
    </row>
    <row r="65" spans="2:7">
      <c r="B65" s="92"/>
      <c r="C65" s="93"/>
      <c r="D65" s="94"/>
      <c r="E65" s="95"/>
      <c r="F65" s="96"/>
      <c r="G65" s="97"/>
    </row>
    <row r="66" spans="2:7">
      <c r="B66" s="85"/>
      <c r="C66" s="86"/>
      <c r="D66" s="87"/>
      <c r="E66" s="88"/>
      <c r="F66" s="89"/>
      <c r="G66" s="90"/>
    </row>
    <row r="67" spans="2:7">
      <c r="B67" s="92"/>
      <c r="C67" s="93"/>
      <c r="D67" s="94"/>
      <c r="E67" s="95"/>
      <c r="F67" s="96"/>
      <c r="G67" s="97"/>
    </row>
    <row r="68" spans="2:7">
      <c r="B68" s="85"/>
      <c r="C68" s="86"/>
      <c r="D68" s="87"/>
      <c r="E68" s="88"/>
      <c r="F68" s="89"/>
      <c r="G68" s="90"/>
    </row>
    <row r="69" spans="2:7">
      <c r="B69" s="92"/>
      <c r="C69" s="93"/>
      <c r="D69" s="94"/>
      <c r="E69" s="95"/>
      <c r="F69" s="96"/>
      <c r="G69" s="97"/>
    </row>
    <row r="70" spans="2:7">
      <c r="B70" s="85"/>
      <c r="C70" s="86"/>
      <c r="D70" s="87"/>
      <c r="E70" s="88"/>
      <c r="F70" s="89"/>
      <c r="G70" s="90"/>
    </row>
    <row r="71" spans="2:7">
      <c r="B71" s="92"/>
      <c r="C71" s="93"/>
      <c r="D71" s="94"/>
      <c r="E71" s="95"/>
      <c r="F71" s="96"/>
      <c r="G71" s="97"/>
    </row>
    <row r="72" spans="2:7">
      <c r="B72" s="85"/>
      <c r="C72" s="86"/>
      <c r="D72" s="87"/>
      <c r="E72" s="88"/>
      <c r="F72" s="89"/>
      <c r="G72" s="90"/>
    </row>
    <row r="73" spans="2:7">
      <c r="B73" s="92"/>
      <c r="C73" s="93"/>
      <c r="D73" s="94"/>
      <c r="E73" s="95"/>
      <c r="F73" s="96"/>
      <c r="G73" s="97"/>
    </row>
    <row r="74" spans="2:7">
      <c r="B74" s="85"/>
      <c r="C74" s="86"/>
      <c r="D74" s="87"/>
      <c r="E74" s="88"/>
      <c r="F74" s="89"/>
      <c r="G74" s="90"/>
    </row>
    <row r="75" spans="2:7">
      <c r="B75" s="92"/>
      <c r="C75" s="93"/>
      <c r="D75" s="94"/>
      <c r="E75" s="95"/>
      <c r="F75" s="96"/>
      <c r="G75" s="97"/>
    </row>
    <row r="76" spans="2:7">
      <c r="B76" s="85"/>
      <c r="C76" s="86"/>
      <c r="D76" s="87"/>
      <c r="E76" s="88"/>
      <c r="F76" s="89"/>
      <c r="G76" s="90"/>
    </row>
    <row r="77" spans="2:7">
      <c r="B77" s="92"/>
      <c r="C77" s="93"/>
      <c r="D77" s="94"/>
      <c r="E77" s="95"/>
      <c r="F77" s="96"/>
      <c r="G77" s="97"/>
    </row>
    <row r="78" spans="2:7">
      <c r="B78" s="85"/>
      <c r="C78" s="86"/>
      <c r="D78" s="87"/>
      <c r="E78" s="88"/>
      <c r="F78" s="89"/>
      <c r="G78" s="90"/>
    </row>
    <row r="79" spans="2:7">
      <c r="B79" s="92"/>
      <c r="C79" s="93"/>
      <c r="D79" s="94"/>
      <c r="E79" s="95"/>
      <c r="F79" s="96"/>
      <c r="G79" s="97"/>
    </row>
    <row r="80" spans="2:7">
      <c r="B80" s="85"/>
      <c r="C80" s="86"/>
      <c r="D80" s="87"/>
      <c r="E80" s="88"/>
      <c r="F80" s="89"/>
      <c r="G80" s="90"/>
    </row>
    <row r="81" spans="2:7">
      <c r="B81" s="92"/>
      <c r="C81" s="93"/>
      <c r="D81" s="94"/>
      <c r="E81" s="95"/>
      <c r="F81" s="96"/>
      <c r="G81" s="97"/>
    </row>
    <row r="82" spans="2:7">
      <c r="B82" s="85"/>
      <c r="C82" s="86"/>
      <c r="D82" s="87"/>
      <c r="E82" s="88"/>
      <c r="F82" s="89"/>
      <c r="G82" s="90"/>
    </row>
    <row r="83" spans="2:7">
      <c r="B83" s="92"/>
      <c r="C83" s="93"/>
      <c r="D83" s="94"/>
      <c r="E83" s="95"/>
      <c r="F83" s="96"/>
      <c r="G83" s="97"/>
    </row>
    <row r="84" spans="2:7">
      <c r="B84" s="85"/>
      <c r="C84" s="86"/>
      <c r="D84" s="87"/>
      <c r="E84" s="88"/>
      <c r="F84" s="89"/>
      <c r="G84" s="90"/>
    </row>
    <row r="85" spans="2:7">
      <c r="B85" s="92"/>
      <c r="C85" s="93"/>
      <c r="D85" s="94"/>
      <c r="E85" s="95"/>
      <c r="F85" s="96"/>
      <c r="G85" s="97"/>
    </row>
    <row r="86" spans="2:7">
      <c r="B86" s="85"/>
      <c r="C86" s="86"/>
      <c r="D86" s="87"/>
      <c r="E86" s="88"/>
      <c r="F86" s="89"/>
      <c r="G86" s="90"/>
    </row>
    <row r="87" spans="2:7">
      <c r="B87" s="92"/>
      <c r="C87" s="93"/>
      <c r="D87" s="94"/>
      <c r="E87" s="95"/>
      <c r="F87" s="96"/>
      <c r="G87" s="97"/>
    </row>
    <row r="88" spans="2:7">
      <c r="B88" s="85"/>
      <c r="C88" s="86"/>
      <c r="D88" s="87"/>
      <c r="E88" s="88"/>
      <c r="F88" s="89"/>
      <c r="G88" s="90"/>
    </row>
    <row r="89" spans="2:7">
      <c r="B89" s="92"/>
      <c r="C89" s="93"/>
      <c r="D89" s="94"/>
      <c r="E89" s="95"/>
      <c r="F89" s="96"/>
      <c r="G89" s="97"/>
    </row>
    <row r="90" spans="2:7">
      <c r="B90" s="85"/>
      <c r="C90" s="86"/>
      <c r="D90" s="87"/>
      <c r="E90" s="88"/>
      <c r="F90" s="89"/>
      <c r="G90" s="90"/>
    </row>
    <row r="91" spans="2:7">
      <c r="B91" s="92"/>
      <c r="C91" s="93"/>
      <c r="D91" s="94"/>
      <c r="E91" s="95"/>
      <c r="F91" s="96"/>
      <c r="G91" s="97"/>
    </row>
    <row r="92" spans="2:7">
      <c r="B92" s="85"/>
      <c r="C92" s="86"/>
      <c r="D92" s="87"/>
      <c r="E92" s="88"/>
      <c r="F92" s="89"/>
      <c r="G92" s="90"/>
    </row>
    <row r="93" spans="2:7">
      <c r="B93" s="92"/>
      <c r="C93" s="93"/>
      <c r="D93" s="94"/>
      <c r="E93" s="95"/>
      <c r="F93" s="96"/>
      <c r="G93" s="97"/>
    </row>
    <row r="94" spans="2:7">
      <c r="B94" s="85"/>
      <c r="C94" s="86"/>
      <c r="D94" s="87"/>
      <c r="E94" s="88"/>
      <c r="F94" s="89"/>
      <c r="G94" s="90"/>
    </row>
    <row r="95" spans="2:7">
      <c r="B95" s="92"/>
      <c r="C95" s="93"/>
      <c r="D95" s="94"/>
      <c r="E95" s="95"/>
      <c r="F95" s="96"/>
      <c r="G95" s="97"/>
    </row>
    <row r="96" spans="2:7">
      <c r="B96" s="85"/>
      <c r="C96" s="86"/>
      <c r="D96" s="87"/>
      <c r="E96" s="88"/>
      <c r="F96" s="89"/>
      <c r="G96" s="90"/>
    </row>
    <row r="97" spans="2:7">
      <c r="B97" s="92"/>
      <c r="C97" s="93"/>
      <c r="D97" s="94"/>
      <c r="E97" s="95"/>
      <c r="F97" s="96"/>
      <c r="G97" s="97"/>
    </row>
    <row r="98" spans="2:7">
      <c r="B98" s="85"/>
      <c r="C98" s="86"/>
      <c r="D98" s="87"/>
      <c r="E98" s="88"/>
      <c r="F98" s="89"/>
      <c r="G98" s="90"/>
    </row>
    <row r="99" spans="2:7">
      <c r="B99" s="92"/>
      <c r="C99" s="93"/>
      <c r="D99" s="94"/>
      <c r="E99" s="95"/>
      <c r="F99" s="96"/>
      <c r="G99" s="97"/>
    </row>
    <row r="100" spans="2:7">
      <c r="B100" s="85"/>
      <c r="C100" s="86"/>
      <c r="D100" s="87"/>
      <c r="E100" s="88"/>
      <c r="F100" s="89"/>
      <c r="G100" s="90"/>
    </row>
    <row r="101" spans="2:7">
      <c r="B101" s="92"/>
      <c r="C101" s="93"/>
      <c r="D101" s="94"/>
      <c r="E101" s="95"/>
      <c r="F101" s="96"/>
      <c r="G101" s="97"/>
    </row>
    <row r="102" spans="2:7">
      <c r="B102" s="85"/>
      <c r="C102" s="86"/>
      <c r="D102" s="87"/>
      <c r="E102" s="88"/>
      <c r="F102" s="89"/>
      <c r="G102" s="90"/>
    </row>
    <row r="103" spans="2:7">
      <c r="B103" s="92"/>
      <c r="C103" s="93"/>
      <c r="D103" s="94"/>
      <c r="E103" s="95"/>
      <c r="F103" s="96"/>
      <c r="G103" s="97"/>
    </row>
    <row r="104" spans="2:7">
      <c r="B104" s="85"/>
      <c r="C104" s="86"/>
      <c r="D104" s="87"/>
      <c r="E104" s="88"/>
      <c r="F104" s="89"/>
      <c r="G104" s="90"/>
    </row>
    <row r="105" spans="2:7">
      <c r="B105" s="92"/>
      <c r="C105" s="93"/>
      <c r="D105" s="94"/>
      <c r="E105" s="95"/>
      <c r="F105" s="96"/>
      <c r="G105" s="97"/>
    </row>
    <row r="106" spans="2:7">
      <c r="B106" s="85"/>
      <c r="C106" s="86"/>
      <c r="D106" s="87"/>
      <c r="E106" s="88"/>
      <c r="F106" s="89"/>
      <c r="G106" s="90"/>
    </row>
    <row r="107" spans="2:7">
      <c r="B107" s="92"/>
      <c r="C107" s="93"/>
      <c r="D107" s="94"/>
      <c r="E107" s="95"/>
      <c r="F107" s="96"/>
      <c r="G107" s="97"/>
    </row>
    <row r="108" spans="2:7">
      <c r="B108" s="85"/>
      <c r="C108" s="86"/>
      <c r="D108" s="87"/>
      <c r="E108" s="88"/>
      <c r="F108" s="89"/>
      <c r="G108" s="90"/>
    </row>
    <row r="109" spans="2:7">
      <c r="B109" s="92"/>
      <c r="C109" s="93"/>
      <c r="D109" s="94"/>
      <c r="E109" s="95"/>
      <c r="F109" s="96"/>
      <c r="G109" s="97"/>
    </row>
    <row r="110" spans="2:7">
      <c r="B110" s="85"/>
      <c r="C110" s="86"/>
      <c r="D110" s="87"/>
      <c r="E110" s="88"/>
      <c r="F110" s="89"/>
      <c r="G110" s="90"/>
    </row>
    <row r="111" spans="2:7">
      <c r="B111" s="92"/>
      <c r="C111" s="93"/>
      <c r="D111" s="94"/>
      <c r="E111" s="95"/>
      <c r="F111" s="96"/>
      <c r="G111" s="97"/>
    </row>
    <row r="112" spans="2:7">
      <c r="B112" s="85"/>
      <c r="C112" s="86"/>
      <c r="D112" s="87"/>
      <c r="E112" s="88"/>
      <c r="F112" s="89"/>
      <c r="G112" s="90"/>
    </row>
    <row r="113" spans="2:7">
      <c r="B113" s="92"/>
      <c r="C113" s="93"/>
      <c r="D113" s="94"/>
      <c r="E113" s="95"/>
      <c r="F113" s="96"/>
      <c r="G113" s="97"/>
    </row>
    <row r="114" spans="2:7">
      <c r="B114" s="85"/>
      <c r="C114" s="86"/>
      <c r="D114" s="87"/>
      <c r="E114" s="88"/>
      <c r="F114" s="89"/>
      <c r="G114" s="90"/>
    </row>
    <row r="115" spans="2:7">
      <c r="B115" s="92"/>
      <c r="C115" s="93"/>
      <c r="D115" s="94"/>
      <c r="E115" s="95"/>
      <c r="F115" s="96"/>
      <c r="G115" s="97"/>
    </row>
    <row r="116" spans="2:7">
      <c r="B116" s="85"/>
      <c r="C116" s="86"/>
      <c r="D116" s="87"/>
      <c r="E116" s="88"/>
      <c r="F116" s="89"/>
      <c r="G116" s="90"/>
    </row>
    <row r="117" spans="2:7">
      <c r="B117" s="92"/>
      <c r="C117" s="93"/>
      <c r="D117" s="94"/>
      <c r="E117" s="95"/>
      <c r="F117" s="96"/>
      <c r="G117" s="97"/>
    </row>
    <row r="118" spans="2:7">
      <c r="B118" s="85"/>
      <c r="C118" s="86"/>
      <c r="D118" s="87"/>
      <c r="E118" s="88"/>
      <c r="F118" s="89"/>
      <c r="G118" s="90"/>
    </row>
    <row r="119" spans="2:7">
      <c r="B119" s="92"/>
      <c r="C119" s="93"/>
      <c r="D119" s="94"/>
      <c r="E119" s="95"/>
      <c r="F119" s="96"/>
      <c r="G119" s="97"/>
    </row>
    <row r="120" spans="2:7">
      <c r="B120" s="85"/>
      <c r="C120" s="86"/>
      <c r="D120" s="87"/>
      <c r="E120" s="88"/>
      <c r="F120" s="89"/>
      <c r="G120" s="90"/>
    </row>
    <row r="121" spans="2:7">
      <c r="B121" s="92"/>
      <c r="C121" s="93"/>
      <c r="D121" s="94"/>
      <c r="E121" s="95"/>
      <c r="F121" s="96"/>
      <c r="G121" s="97"/>
    </row>
    <row r="122" spans="2:7">
      <c r="B122" s="85"/>
      <c r="C122" s="86"/>
      <c r="D122" s="87"/>
      <c r="E122" s="88"/>
      <c r="F122" s="89"/>
      <c r="G122" s="90"/>
    </row>
    <row r="123" spans="2:7">
      <c r="B123" s="92"/>
      <c r="C123" s="93"/>
      <c r="D123" s="94"/>
      <c r="E123" s="95"/>
      <c r="F123" s="96"/>
      <c r="G123" s="97"/>
    </row>
    <row r="124" spans="2:7">
      <c r="B124" s="85"/>
      <c r="C124" s="86"/>
      <c r="D124" s="87"/>
      <c r="E124" s="88"/>
      <c r="F124" s="89"/>
      <c r="G124" s="90"/>
    </row>
    <row r="125" spans="2:7">
      <c r="B125" s="92"/>
      <c r="C125" s="93"/>
      <c r="D125" s="94"/>
      <c r="E125" s="95"/>
      <c r="F125" s="96"/>
      <c r="G125" s="97"/>
    </row>
    <row r="126" spans="2:7">
      <c r="B126" s="85"/>
      <c r="C126" s="86"/>
      <c r="D126" s="87"/>
      <c r="E126" s="88"/>
      <c r="F126" s="89"/>
      <c r="G126" s="90"/>
    </row>
    <row r="127" spans="2:7">
      <c r="B127" s="92"/>
      <c r="C127" s="93"/>
      <c r="D127" s="94"/>
      <c r="E127" s="95"/>
      <c r="F127" s="96"/>
      <c r="G127" s="97"/>
    </row>
    <row r="128" spans="2:7">
      <c r="B128" s="85"/>
      <c r="C128" s="86"/>
      <c r="D128" s="87"/>
      <c r="E128" s="88"/>
      <c r="F128" s="89"/>
      <c r="G128" s="90"/>
    </row>
    <row r="129" spans="2:7">
      <c r="B129" s="92"/>
      <c r="C129" s="93"/>
      <c r="D129" s="94"/>
      <c r="E129" s="95"/>
      <c r="F129" s="96"/>
      <c r="G129" s="97"/>
    </row>
    <row r="130" spans="2:7">
      <c r="B130" s="85"/>
      <c r="C130" s="86"/>
      <c r="D130" s="87"/>
      <c r="E130" s="88"/>
      <c r="F130" s="89"/>
      <c r="G130" s="90"/>
    </row>
    <row r="131" spans="2:7">
      <c r="B131" s="92"/>
      <c r="C131" s="93"/>
      <c r="D131" s="94"/>
      <c r="E131" s="95"/>
      <c r="F131" s="96"/>
      <c r="G131" s="97"/>
    </row>
    <row r="132" spans="2:7">
      <c r="B132" s="85"/>
      <c r="C132" s="86"/>
      <c r="D132" s="87"/>
      <c r="E132" s="88"/>
      <c r="F132" s="89"/>
      <c r="G132" s="90"/>
    </row>
    <row r="133" spans="2:7">
      <c r="B133" s="92"/>
      <c r="C133" s="93"/>
      <c r="D133" s="94"/>
      <c r="E133" s="95"/>
      <c r="F133" s="96"/>
      <c r="G133" s="97"/>
    </row>
    <row r="134" spans="2:7">
      <c r="B134" s="85"/>
      <c r="C134" s="86"/>
      <c r="D134" s="87"/>
      <c r="E134" s="88"/>
      <c r="F134" s="89"/>
      <c r="G134" s="90"/>
    </row>
    <row r="135" spans="2:7">
      <c r="B135" s="92"/>
      <c r="C135" s="93"/>
      <c r="D135" s="94"/>
      <c r="E135" s="95"/>
      <c r="F135" s="96"/>
      <c r="G135" s="97"/>
    </row>
    <row r="136" spans="2:7">
      <c r="B136" s="85"/>
      <c r="C136" s="86"/>
      <c r="D136" s="87"/>
      <c r="E136" s="88"/>
      <c r="F136" s="89"/>
      <c r="G136" s="90"/>
    </row>
    <row r="137" spans="2:7">
      <c r="B137" s="92"/>
      <c r="C137" s="93"/>
      <c r="D137" s="94"/>
      <c r="E137" s="95"/>
      <c r="F137" s="96"/>
      <c r="G137" s="97"/>
    </row>
    <row r="138" spans="2:7">
      <c r="B138" s="85"/>
      <c r="C138" s="86"/>
      <c r="D138" s="87"/>
      <c r="E138" s="88"/>
      <c r="F138" s="89"/>
      <c r="G138" s="90"/>
    </row>
    <row r="139" spans="2:7">
      <c r="B139" s="92"/>
      <c r="C139" s="93"/>
      <c r="D139" s="94"/>
      <c r="E139" s="95"/>
      <c r="F139" s="96"/>
      <c r="G139" s="97"/>
    </row>
    <row r="140" spans="2:7">
      <c r="B140" s="85"/>
      <c r="C140" s="86"/>
      <c r="D140" s="87"/>
      <c r="E140" s="88"/>
      <c r="F140" s="89"/>
      <c r="G140" s="90"/>
    </row>
    <row r="141" spans="2:7">
      <c r="B141" s="92"/>
      <c r="C141" s="93"/>
      <c r="D141" s="94"/>
      <c r="E141" s="95"/>
      <c r="F141" s="96"/>
      <c r="G141" s="97"/>
    </row>
    <row r="142" spans="2:7">
      <c r="B142" s="85"/>
      <c r="C142" s="86"/>
      <c r="D142" s="87"/>
      <c r="E142" s="88"/>
      <c r="F142" s="89"/>
      <c r="G142" s="90"/>
    </row>
    <row r="143" spans="2:7">
      <c r="B143" s="92"/>
      <c r="C143" s="93"/>
      <c r="D143" s="94"/>
      <c r="E143" s="95"/>
      <c r="F143" s="96"/>
      <c r="G143" s="97"/>
    </row>
    <row r="144" spans="2:7">
      <c r="B144" s="85"/>
      <c r="C144" s="86"/>
      <c r="D144" s="87"/>
      <c r="E144" s="88"/>
      <c r="F144" s="89"/>
      <c r="G144" s="90"/>
    </row>
    <row r="145" spans="2:7">
      <c r="B145" s="92"/>
      <c r="C145" s="93"/>
      <c r="D145" s="94"/>
      <c r="E145" s="95"/>
      <c r="F145" s="96"/>
      <c r="G145" s="97"/>
    </row>
    <row r="146" spans="2:7">
      <c r="B146" s="85"/>
      <c r="C146" s="86"/>
      <c r="D146" s="87"/>
      <c r="E146" s="88"/>
      <c r="F146" s="89"/>
      <c r="G146" s="90"/>
    </row>
    <row r="147" spans="2:7">
      <c r="B147" s="92"/>
      <c r="C147" s="93"/>
      <c r="D147" s="94"/>
      <c r="E147" s="95"/>
      <c r="F147" s="96"/>
      <c r="G147" s="97"/>
    </row>
    <row r="148" spans="2:7">
      <c r="B148" s="85"/>
      <c r="C148" s="86"/>
      <c r="D148" s="87"/>
      <c r="E148" s="88"/>
      <c r="F148" s="89"/>
      <c r="G148" s="90"/>
    </row>
    <row r="149" spans="2:7">
      <c r="B149" s="92"/>
      <c r="C149" s="93"/>
      <c r="D149" s="94"/>
      <c r="E149" s="95"/>
      <c r="F149" s="96"/>
      <c r="G149" s="97"/>
    </row>
    <row r="150" spans="2:7">
      <c r="B150" s="85"/>
      <c r="C150" s="86"/>
      <c r="D150" s="87"/>
      <c r="E150" s="88"/>
      <c r="F150" s="89"/>
      <c r="G150" s="90"/>
    </row>
    <row r="151" spans="2:7">
      <c r="B151" s="92"/>
      <c r="C151" s="93"/>
      <c r="D151" s="94"/>
      <c r="E151" s="95"/>
      <c r="F151" s="96"/>
      <c r="G151" s="97"/>
    </row>
    <row r="152" spans="2:7">
      <c r="B152" s="85"/>
      <c r="C152" s="86"/>
      <c r="D152" s="87"/>
      <c r="E152" s="88"/>
      <c r="F152" s="89"/>
      <c r="G152" s="90"/>
    </row>
    <row r="153" spans="2:7">
      <c r="B153" s="92"/>
      <c r="C153" s="93"/>
      <c r="D153" s="94"/>
      <c r="E153" s="95"/>
      <c r="F153" s="96"/>
      <c r="G153" s="97"/>
    </row>
    <row r="154" spans="2:7">
      <c r="B154" s="85"/>
      <c r="C154" s="86"/>
      <c r="D154" s="87"/>
      <c r="E154" s="88"/>
      <c r="F154" s="89"/>
      <c r="G154" s="90"/>
    </row>
    <row r="155" spans="2:7">
      <c r="B155" s="92"/>
      <c r="C155" s="93"/>
      <c r="D155" s="94"/>
      <c r="E155" s="95"/>
      <c r="F155" s="96"/>
      <c r="G155" s="97"/>
    </row>
    <row r="156" spans="2:7">
      <c r="B156" s="85"/>
      <c r="C156" s="86"/>
      <c r="D156" s="87"/>
      <c r="E156" s="88"/>
      <c r="F156" s="89"/>
      <c r="G156" s="90"/>
    </row>
    <row r="157" spans="2:7">
      <c r="B157" s="92"/>
      <c r="C157" s="93"/>
      <c r="D157" s="94"/>
      <c r="E157" s="95"/>
      <c r="F157" s="96"/>
      <c r="G157" s="97"/>
    </row>
    <row r="158" spans="2:7">
      <c r="B158" s="85"/>
      <c r="C158" s="86"/>
      <c r="D158" s="87"/>
      <c r="E158" s="88"/>
      <c r="F158" s="89"/>
      <c r="G158" s="90"/>
    </row>
    <row r="159" spans="2:7">
      <c r="B159" s="92"/>
      <c r="C159" s="93"/>
      <c r="D159" s="94"/>
      <c r="E159" s="95"/>
      <c r="F159" s="96"/>
      <c r="G159" s="97"/>
    </row>
    <row r="160" spans="2:7">
      <c r="B160" s="85"/>
      <c r="C160" s="86"/>
      <c r="D160" s="87"/>
      <c r="E160" s="88"/>
      <c r="F160" s="89"/>
      <c r="G160" s="90"/>
    </row>
    <row r="161" spans="2:7">
      <c r="B161" s="92"/>
      <c r="C161" s="93"/>
      <c r="D161" s="94"/>
      <c r="E161" s="95"/>
      <c r="F161" s="96"/>
      <c r="G161" s="97"/>
    </row>
    <row r="162" spans="2:7">
      <c r="B162" s="85"/>
      <c r="C162" s="86"/>
      <c r="D162" s="87"/>
      <c r="E162" s="88"/>
      <c r="F162" s="89"/>
      <c r="G162" s="90"/>
    </row>
    <row r="163" spans="2:7">
      <c r="B163" s="92"/>
      <c r="C163" s="93"/>
      <c r="D163" s="94"/>
      <c r="E163" s="95"/>
      <c r="F163" s="96"/>
      <c r="G163" s="97"/>
    </row>
    <row r="164" spans="2:7">
      <c r="B164" s="85"/>
      <c r="C164" s="86"/>
      <c r="D164" s="87"/>
      <c r="E164" s="88"/>
      <c r="F164" s="89"/>
      <c r="G164" s="90"/>
    </row>
    <row r="165" spans="2:7">
      <c r="B165" s="92"/>
      <c r="C165" s="93"/>
      <c r="D165" s="94"/>
      <c r="E165" s="95"/>
      <c r="F165" s="96"/>
      <c r="G165" s="97"/>
    </row>
    <row r="166" spans="2:7">
      <c r="B166" s="85"/>
      <c r="C166" s="86"/>
      <c r="D166" s="87"/>
      <c r="E166" s="88"/>
      <c r="F166" s="89"/>
      <c r="G166" s="90"/>
    </row>
    <row r="167" spans="2:7">
      <c r="B167" s="92"/>
      <c r="C167" s="93"/>
      <c r="D167" s="94"/>
      <c r="E167" s="95"/>
      <c r="F167" s="96"/>
      <c r="G167" s="97"/>
    </row>
    <row r="168" spans="2:7">
      <c r="B168" s="85"/>
      <c r="C168" s="86"/>
      <c r="D168" s="87"/>
      <c r="E168" s="88"/>
      <c r="F168" s="89"/>
      <c r="G168" s="90"/>
    </row>
    <row r="169" spans="2:7">
      <c r="B169" s="92"/>
      <c r="C169" s="93"/>
      <c r="D169" s="94"/>
      <c r="E169" s="95"/>
      <c r="F169" s="96"/>
      <c r="G169" s="97"/>
    </row>
    <row r="170" spans="2:7">
      <c r="B170" s="85"/>
      <c r="C170" s="86"/>
      <c r="D170" s="87"/>
      <c r="E170" s="88"/>
      <c r="F170" s="89"/>
      <c r="G170" s="90"/>
    </row>
    <row r="171" spans="2:7">
      <c r="B171" s="92"/>
      <c r="C171" s="93"/>
      <c r="D171" s="94"/>
      <c r="E171" s="95"/>
      <c r="F171" s="96"/>
      <c r="G171" s="97"/>
    </row>
    <row r="172" spans="2:7">
      <c r="B172" s="85"/>
      <c r="C172" s="86"/>
      <c r="D172" s="87"/>
      <c r="E172" s="88"/>
      <c r="F172" s="89"/>
      <c r="G172" s="90"/>
    </row>
    <row r="173" spans="2:7">
      <c r="B173" s="92"/>
      <c r="C173" s="93"/>
      <c r="D173" s="94"/>
      <c r="E173" s="95"/>
      <c r="F173" s="96"/>
      <c r="G173" s="97"/>
    </row>
    <row r="174" spans="2:7">
      <c r="B174" s="85"/>
      <c r="C174" s="86"/>
      <c r="D174" s="87"/>
      <c r="E174" s="88"/>
      <c r="F174" s="89"/>
      <c r="G174" s="90"/>
    </row>
    <row r="175" spans="2:7">
      <c r="B175" s="92"/>
      <c r="C175" s="93"/>
      <c r="D175" s="94"/>
      <c r="E175" s="95"/>
      <c r="F175" s="96"/>
      <c r="G175" s="97"/>
    </row>
    <row r="176" spans="2:7">
      <c r="B176" s="85"/>
      <c r="C176" s="86"/>
      <c r="D176" s="87"/>
      <c r="E176" s="88"/>
      <c r="F176" s="89"/>
      <c r="G176" s="90"/>
    </row>
    <row r="177" spans="2:7">
      <c r="B177" s="92"/>
      <c r="C177" s="93"/>
      <c r="D177" s="94"/>
      <c r="E177" s="95"/>
      <c r="F177" s="96"/>
      <c r="G177" s="97"/>
    </row>
    <row r="178" spans="2:7">
      <c r="B178" s="85"/>
      <c r="C178" s="86"/>
      <c r="D178" s="87"/>
      <c r="E178" s="88"/>
      <c r="F178" s="89"/>
      <c r="G178" s="90"/>
    </row>
    <row r="179" spans="2:7">
      <c r="B179" s="92"/>
      <c r="C179" s="93"/>
      <c r="D179" s="94"/>
      <c r="E179" s="95"/>
      <c r="F179" s="96"/>
      <c r="G179" s="97"/>
    </row>
    <row r="180" spans="2:7">
      <c r="B180" s="85"/>
      <c r="C180" s="86"/>
      <c r="D180" s="87"/>
      <c r="E180" s="88"/>
      <c r="F180" s="89"/>
      <c r="G180" s="90"/>
    </row>
    <row r="181" spans="2:7">
      <c r="B181" s="92"/>
      <c r="C181" s="93"/>
      <c r="D181" s="94"/>
      <c r="E181" s="95"/>
      <c r="F181" s="96"/>
      <c r="G181" s="97"/>
    </row>
    <row r="182" spans="2:7">
      <c r="B182" s="85"/>
      <c r="C182" s="86"/>
      <c r="D182" s="87"/>
      <c r="E182" s="88"/>
      <c r="F182" s="89"/>
      <c r="G182" s="90"/>
    </row>
    <row r="183" spans="2:7">
      <c r="B183" s="92"/>
      <c r="C183" s="93"/>
      <c r="D183" s="94"/>
      <c r="E183" s="95"/>
      <c r="F183" s="96"/>
      <c r="G183" s="97"/>
    </row>
    <row r="184" spans="2:7">
      <c r="B184" s="85"/>
      <c r="C184" s="86"/>
      <c r="D184" s="87"/>
      <c r="E184" s="88"/>
      <c r="F184" s="89"/>
      <c r="G184" s="90"/>
    </row>
    <row r="185" spans="2:7">
      <c r="B185" s="92"/>
      <c r="C185" s="93"/>
      <c r="D185" s="94"/>
      <c r="E185" s="95"/>
      <c r="F185" s="96"/>
      <c r="G185" s="97"/>
    </row>
    <row r="186" spans="2:7">
      <c r="B186" s="85"/>
      <c r="C186" s="86"/>
      <c r="D186" s="87"/>
      <c r="E186" s="88"/>
      <c r="F186" s="89"/>
      <c r="G186" s="90"/>
    </row>
    <row r="187" spans="2:7">
      <c r="B187" s="92"/>
      <c r="C187" s="93"/>
      <c r="D187" s="94"/>
      <c r="E187" s="95"/>
      <c r="F187" s="96"/>
      <c r="G187" s="97"/>
    </row>
    <row r="188" spans="2:7">
      <c r="B188" s="85"/>
      <c r="C188" s="86"/>
      <c r="D188" s="87"/>
      <c r="E188" s="88"/>
      <c r="F188" s="89"/>
      <c r="G188" s="90"/>
    </row>
    <row r="189" spans="2:7">
      <c r="B189" s="92"/>
      <c r="C189" s="93"/>
      <c r="D189" s="94"/>
      <c r="E189" s="95"/>
      <c r="F189" s="96"/>
      <c r="G189" s="97"/>
    </row>
    <row r="190" spans="2:7">
      <c r="B190" s="85"/>
      <c r="C190" s="86"/>
      <c r="D190" s="87"/>
      <c r="E190" s="88"/>
      <c r="F190" s="89"/>
      <c r="G190" s="90"/>
    </row>
    <row r="191" spans="2:7">
      <c r="B191" s="92"/>
      <c r="C191" s="93"/>
      <c r="D191" s="94"/>
      <c r="E191" s="95"/>
      <c r="F191" s="96"/>
      <c r="G191" s="97"/>
    </row>
    <row r="192" spans="2:7">
      <c r="B192" s="85"/>
      <c r="C192" s="86"/>
      <c r="D192" s="87"/>
      <c r="E192" s="88"/>
      <c r="F192" s="89"/>
      <c r="G192" s="90"/>
    </row>
    <row r="193" spans="2:7">
      <c r="B193" s="92"/>
      <c r="C193" s="93"/>
      <c r="D193" s="94"/>
      <c r="E193" s="95"/>
      <c r="F193" s="96"/>
      <c r="G193" s="97"/>
    </row>
    <row r="194" spans="2:7">
      <c r="B194" s="85"/>
      <c r="C194" s="86"/>
      <c r="D194" s="87"/>
      <c r="E194" s="88"/>
      <c r="F194" s="89"/>
      <c r="G194" s="90"/>
    </row>
    <row r="195" spans="2:7">
      <c r="B195" s="92"/>
      <c r="C195" s="93"/>
      <c r="D195" s="94"/>
      <c r="E195" s="95"/>
      <c r="F195" s="96"/>
      <c r="G195" s="97"/>
    </row>
    <row r="196" spans="2:7">
      <c r="B196" s="85"/>
      <c r="C196" s="86"/>
      <c r="D196" s="87"/>
      <c r="E196" s="88"/>
      <c r="F196" s="89"/>
      <c r="G196" s="90"/>
    </row>
    <row r="197" spans="2:7">
      <c r="B197" s="92"/>
      <c r="C197" s="93"/>
      <c r="D197" s="94"/>
      <c r="E197" s="95"/>
      <c r="F197" s="96"/>
      <c r="G197" s="97"/>
    </row>
    <row r="198" spans="2:7">
      <c r="B198" s="85"/>
      <c r="C198" s="86"/>
      <c r="D198" s="87"/>
      <c r="E198" s="88"/>
      <c r="F198" s="89"/>
      <c r="G198" s="90"/>
    </row>
    <row r="199" spans="2:7">
      <c r="B199" s="92"/>
      <c r="C199" s="93"/>
      <c r="D199" s="94"/>
      <c r="E199" s="95"/>
      <c r="F199" s="96"/>
      <c r="G199" s="97"/>
    </row>
    <row r="200" spans="2:7">
      <c r="B200" s="85"/>
      <c r="C200" s="86"/>
      <c r="D200" s="87"/>
      <c r="E200" s="88"/>
      <c r="F200" s="89"/>
      <c r="G200" s="90"/>
    </row>
    <row r="201" spans="2:7">
      <c r="B201" s="92"/>
      <c r="C201" s="93"/>
      <c r="D201" s="94"/>
      <c r="E201" s="95"/>
      <c r="F201" s="96"/>
      <c r="G201" s="97"/>
    </row>
    <row r="202" spans="2:7">
      <c r="B202" s="85"/>
      <c r="C202" s="86"/>
      <c r="D202" s="87"/>
      <c r="E202" s="88"/>
      <c r="F202" s="89"/>
      <c r="G202" s="90"/>
    </row>
    <row r="203" spans="2:7">
      <c r="B203" s="92"/>
      <c r="C203" s="93"/>
      <c r="D203" s="94"/>
      <c r="E203" s="95"/>
      <c r="F203" s="96"/>
      <c r="G203" s="97"/>
    </row>
    <row r="204" spans="2:7">
      <c r="B204" s="85"/>
      <c r="C204" s="86"/>
      <c r="D204" s="87"/>
      <c r="E204" s="88"/>
      <c r="F204" s="89"/>
      <c r="G204" s="90"/>
    </row>
    <row r="205" spans="2:7">
      <c r="B205" s="92"/>
      <c r="C205" s="93"/>
      <c r="D205" s="94"/>
      <c r="E205" s="95"/>
      <c r="F205" s="96"/>
      <c r="G205" s="97"/>
    </row>
    <row r="206" spans="2:7">
      <c r="B206" s="85"/>
      <c r="C206" s="86"/>
      <c r="D206" s="87"/>
      <c r="E206" s="88"/>
      <c r="F206" s="89"/>
      <c r="G206" s="90"/>
    </row>
    <row r="207" spans="2:7">
      <c r="B207" s="92"/>
      <c r="C207" s="93"/>
      <c r="D207" s="94"/>
      <c r="E207" s="95"/>
      <c r="F207" s="96"/>
      <c r="G207" s="97"/>
    </row>
    <row r="208" spans="2:7">
      <c r="B208" s="85"/>
      <c r="C208" s="86"/>
      <c r="D208" s="87"/>
      <c r="E208" s="88"/>
      <c r="F208" s="89"/>
      <c r="G208" s="90"/>
    </row>
    <row r="209" spans="2:7">
      <c r="B209" s="92"/>
      <c r="C209" s="93"/>
      <c r="D209" s="94"/>
      <c r="E209" s="95"/>
      <c r="F209" s="96"/>
      <c r="G209" s="97"/>
    </row>
    <row r="210" spans="2:7">
      <c r="B210" s="85"/>
      <c r="C210" s="86"/>
      <c r="D210" s="87"/>
      <c r="E210" s="88"/>
      <c r="F210" s="89"/>
      <c r="G210" s="90"/>
    </row>
    <row r="211" spans="2:7">
      <c r="B211" s="92"/>
      <c r="C211" s="93"/>
      <c r="D211" s="94"/>
      <c r="E211" s="95"/>
      <c r="F211" s="96"/>
      <c r="G211" s="97"/>
    </row>
    <row r="212" spans="2:7">
      <c r="B212" s="85"/>
      <c r="C212" s="86"/>
      <c r="D212" s="87"/>
      <c r="E212" s="88"/>
      <c r="F212" s="89"/>
      <c r="G212" s="90"/>
    </row>
    <row r="213" spans="2:7">
      <c r="B213" s="92"/>
      <c r="C213" s="93"/>
      <c r="D213" s="94"/>
      <c r="E213" s="95"/>
      <c r="F213" s="96"/>
      <c r="G213" s="97"/>
    </row>
    <row r="214" spans="2:7">
      <c r="B214" s="85"/>
      <c r="C214" s="86"/>
      <c r="D214" s="87"/>
      <c r="E214" s="88"/>
      <c r="F214" s="89"/>
      <c r="G214" s="90"/>
    </row>
    <row r="215" spans="2:7">
      <c r="B215" s="92"/>
      <c r="C215" s="93"/>
      <c r="D215" s="94"/>
      <c r="E215" s="95"/>
      <c r="F215" s="96"/>
      <c r="G215" s="97"/>
    </row>
    <row r="216" spans="2:7">
      <c r="B216" s="85"/>
      <c r="C216" s="86"/>
      <c r="D216" s="87"/>
      <c r="E216" s="88"/>
      <c r="F216" s="89"/>
      <c r="G216" s="90"/>
    </row>
    <row r="217" spans="2:7">
      <c r="B217" s="92"/>
      <c r="C217" s="93"/>
      <c r="D217" s="94"/>
      <c r="E217" s="95"/>
      <c r="F217" s="96"/>
      <c r="G217" s="97"/>
    </row>
    <row r="218" spans="2:7">
      <c r="B218" s="85"/>
      <c r="C218" s="86"/>
      <c r="D218" s="87"/>
      <c r="E218" s="88"/>
      <c r="F218" s="89"/>
      <c r="G218" s="90"/>
    </row>
    <row r="219" spans="2:7">
      <c r="B219" s="92"/>
      <c r="C219" s="93"/>
      <c r="D219" s="94"/>
      <c r="E219" s="95"/>
      <c r="F219" s="96"/>
      <c r="G219" s="97"/>
    </row>
    <row r="220" spans="2:7">
      <c r="B220" s="85"/>
      <c r="C220" s="86"/>
      <c r="D220" s="87"/>
      <c r="E220" s="88"/>
      <c r="F220" s="89"/>
      <c r="G220" s="90"/>
    </row>
    <row r="221" spans="2:7">
      <c r="B221" s="92"/>
      <c r="C221" s="93"/>
      <c r="D221" s="94"/>
      <c r="E221" s="95"/>
      <c r="F221" s="96"/>
      <c r="G221" s="97"/>
    </row>
  </sheetData>
  <sheetProtection password="D4C7" sheet="1" objects="1" scenarios="1" formatColumns="0" formatRows="0" autoFilter="0"/>
  <mergeCells count="25">
    <mergeCell ref="B2:N2"/>
    <mergeCell ref="B3:N3"/>
    <mergeCell ref="B5:F5"/>
    <mergeCell ref="H5:M5"/>
    <mergeCell ref="C13:F13"/>
    <mergeCell ref="D6:F6"/>
    <mergeCell ref="D7:F7"/>
    <mergeCell ref="D8:F8"/>
    <mergeCell ref="D9:F9"/>
    <mergeCell ref="D10:F10"/>
    <mergeCell ref="C11:F11"/>
    <mergeCell ref="D12:F12"/>
    <mergeCell ref="D14:F14"/>
    <mergeCell ref="H6:M6"/>
    <mergeCell ref="H7:M10"/>
    <mergeCell ref="H11:M11"/>
    <mergeCell ref="H12:M13"/>
    <mergeCell ref="I14:M14"/>
    <mergeCell ref="B18:M18"/>
    <mergeCell ref="D19:F19"/>
    <mergeCell ref="B20:F20"/>
    <mergeCell ref="J22:K22"/>
    <mergeCell ref="J23:K23"/>
    <mergeCell ref="J24:K24"/>
    <mergeCell ref="J25:K25"/>
  </mergeCells>
  <conditionalFormatting sqref="C12">
    <cfRule type="cellIs" dxfId="4" priority="2" operator="equal">
      <formula>"Absent"</formula>
    </cfRule>
    <cfRule type="cellIs" dxfId="5" priority="3" operator="equal">
      <formula>"Présent"</formula>
    </cfRule>
    <cfRule type="cellIs" dxfId="6" priority="4" operator="equal">
      <formula>"Retard"</formula>
    </cfRule>
  </conditionalFormatting>
  <conditionalFormatting sqref="C22:C221">
    <cfRule type="expression" dxfId="2" priority="9">
      <formula>$E22="A"</formula>
    </cfRule>
  </conditionalFormatting>
  <conditionalFormatting sqref="D6">
    <cfRule type="expression" dxfId="1" priority="1">
      <formula>$C$6&lt;&gt;""</formula>
    </cfRule>
  </conditionalFormatting>
  <conditionalFormatting sqref="E22:E221">
    <cfRule type="cellIs" dxfId="7" priority="5" operator="equal">
      <formula>"P"</formula>
    </cfRule>
    <cfRule type="cellIs" dxfId="8" priority="6" operator="equal">
      <formula>"A"</formula>
    </cfRule>
    <cfRule type="cellIs" dxfId="9" priority="7" operator="equal">
      <formula>"R"</formula>
    </cfRule>
    <cfRule type="cellIs" dxfId="10" priority="8" operator="equal">
      <formula>"E"</formula>
    </cfRule>
  </conditionalFormatting>
  <dataValidations count="9">
    <dataValidation type="list" allowBlank="1" showInputMessage="1" showErrorMessage="1" promptTitle="Recharger une séance" prompt="Choisissez un n° pour la modifier." sqref="C6">
      <formula1>LstSeances</formula1>
    </dataValidation>
    <dataValidation type="list" allowBlank="1" showInputMessage="1" showErrorMessage="1" promptTitle="Matière" prompt="Choisissez la matière (remplie par DÉMARRER LE COURS)." sqref="C7">
      <formula1>LstMatieres</formula1>
    </dataValidation>
    <dataValidation type="date" operator="greaterThan" allowBlank="1" showInputMessage="1" showErrorMessage="1" sqref="C8">
      <formula1>43831</formula1>
    </dataValidation>
    <dataValidation type="time" allowBlank="1" showInputMessage="1" showErrorMessage="1" error="Saisissez une heure hh:mm." sqref="C9:C10">
      <formula1>0</formula1>
      <formula2>0.9993055555555556</formula2>
    </dataValidation>
    <dataValidation type="list" allowBlank="1" showInputMessage="1" showErrorMessage="1" sqref="C12">
      <formula1>LstProf</formula1>
    </dataValidation>
    <dataValidation type="list" allowBlank="1" showInputMessage="1" showErrorMessage="1" sqref="C14">
      <formula1>LstTypes</formula1>
    </dataValidation>
    <dataValidation type="list" errorStyle="information" allowBlank="1" showInputMessage="1" showErrorMessage="1" promptTitle="Remplaçant" prompt="Choisissez l'enseignant remplaçant ou écrivez un motif." sqref="C13">
      <formula1>LstEnseignants</formula1>
    </dataValidation>
    <dataValidation type="list" allowBlank="1" showInputMessage="1" showErrorMessage="1" promptTitle="Filtrer l'appel" prompt="Laissez vide pour afficher tous les étudiants." sqref="C19">
      <formula1>LstGroupes</formula1>
    </dataValidation>
    <dataValidation type="list" allowBlank="1" showInputMessage="1" showErrorMessage="1" sqref="E22:E221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ahier">
    <tabColor rgb="FFED7D31"/>
  </sheetPr>
  <dimension ref="A1:U7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8.7109375" customWidth="1"/>
    <col min="3" max="3" width="11.7109375" customWidth="1"/>
    <col min="4" max="4" width="10.7109375" customWidth="1"/>
    <col min="5" max="7" width="8.7109375" customWidth="1"/>
    <col min="8" max="8" width="11.7109375" customWidth="1"/>
    <col min="9" max="9" width="30.7109375" customWidth="1"/>
    <col min="10" max="10" width="20.7109375" customWidth="1"/>
    <col min="11" max="11" width="12.7109375" customWidth="1"/>
    <col min="12" max="12" width="18.7109375" customWidth="1"/>
    <col min="13" max="13" width="11.7109375" customWidth="1"/>
    <col min="14" max="14" width="50.7109375" customWidth="1"/>
    <col min="15" max="15" width="30.7109375" customWidth="1"/>
    <col min="16" max="19" width="8.7109375" customWidth="1"/>
    <col min="20" max="20" width="10.7109375" customWidth="1"/>
    <col min="21" max="21" width="25.7109375" customWidth="1"/>
  </cols>
  <sheetData>
    <row r="1" spans="2:21" ht="8" customHeight="1" x14ac:dyDescent="0.25">
      <c r="B1" s="1" t="s">
        <v>1</v>
      </c>
      <c r="C1" s="1" t="s">
        <v>2</v>
      </c>
    </row>
    <row r="2" spans="2:21" ht="34" customHeight="1" x14ac:dyDescent="0.25">
      <c r="B2" s="2" t="s">
        <v>107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 x14ac:dyDescent="0.25">
      <c r="B3" s="4" t="s">
        <v>108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2:21" ht="26" customHeight="1" x14ac:dyDescent="0.25"/>
    <row r="6" spans="2:21" ht="30" customHeight="1" x14ac:dyDescent="0.25">
      <c r="B6" t="s">
        <v>109</v>
      </c>
      <c r="C6" t="s">
        <v>80</v>
      </c>
      <c r="D6" t="s">
        <v>110</v>
      </c>
      <c r="E6" t="s">
        <v>111</v>
      </c>
      <c r="F6" t="s">
        <v>112</v>
      </c>
      <c r="G6" t="s">
        <v>113</v>
      </c>
      <c r="H6" t="s">
        <v>114</v>
      </c>
      <c r="I6" t="s">
        <v>14</v>
      </c>
      <c r="J6" t="s">
        <v>83</v>
      </c>
      <c r="K6" t="s">
        <v>115</v>
      </c>
      <c r="L6" t="s">
        <v>116</v>
      </c>
      <c r="M6" t="s">
        <v>86</v>
      </c>
      <c r="N6" t="s">
        <v>88</v>
      </c>
      <c r="O6" t="s">
        <v>117</v>
      </c>
      <c r="P6" t="s">
        <v>95</v>
      </c>
      <c r="Q6" t="s">
        <v>96</v>
      </c>
      <c r="R6" t="s">
        <v>97</v>
      </c>
      <c r="S6" t="s">
        <v>98</v>
      </c>
      <c r="T6" t="s">
        <v>118</v>
      </c>
      <c r="U6" t="s">
        <v>90</v>
      </c>
    </row>
    <row r="7" spans="2:21" x14ac:dyDescent="0.25">
      <c r="D7" s="98">
        <f>IF(tblSeances[[#This Row],[Date]]="","",CHOOSE(WEEKDAY(tblSeances[[#This Row],[Date]],2),"Lundi","Mardi","Mercredi","Jeudi","Vendredi","Samedi","Dimanche"))</f>
        <v>0</v>
      </c>
      <c r="G7" s="99">
        <f>IF(OR(tblSeances[[#This Row],[Début]]="",tblSeances[[#This Row],[Fin]]=""),"",ROUND(MOD(tblSeances[[#This Row],[Fin]]-tblSeances[[#This Row],[Début]],1)*24,2))</f>
        <v>0</v>
      </c>
      <c r="I7" s="100">
        <f>IF(tblSeances[[#This Row],[Code matière]]="","",IFERROR(INDEX(tblMatieres[Intitulé],MATCH(tblSeances[[#This Row],[Code matière]],tblMatieres[Code],0)),"?"))</f>
        <v>0</v>
      </c>
      <c r="J7" s="100">
        <f>IF(tblSeances[[#This Row],[Code matière]]="","",IFERROR(INDEX(tblMatieres[Enseignant(s)],MATCH(tblSeances[[#This Row],[Code matière]],tblMatieres[Code],0)),""))</f>
        <v>0</v>
      </c>
      <c r="P7" s="101">
        <f>IF(tblSeances[[#This Row],[ID]]="","",COUNTIFS(tblPresences[ID séance],tblSeances[[#This Row],[ID]],tblPresences[Statut],"P"))</f>
        <v>0</v>
      </c>
      <c r="Q7" s="101">
        <f>IF(tblSeances[[#This Row],[ID]]="","",COUNTIFS(tblPresences[ID séance],tblSeances[[#This Row],[ID]],tblPresences[Statut],"A"))</f>
        <v>0</v>
      </c>
      <c r="R7" s="101">
        <f>IF(tblSeances[[#This Row],[ID]]="","",COUNTIFS(tblPresences[ID séance],tblSeances[[#This Row],[ID]],tblPresences[Statut],"R"))</f>
        <v>0</v>
      </c>
      <c r="S7" s="101">
        <f>IF(tblSeances[[#This Row],[ID]]="","",COUNTIFS(tblPresences[ID séance],tblSeances[[#This Row],[ID]],tblPresences[Statut],"E"))</f>
        <v>0</v>
      </c>
      <c r="T7" s="102">
        <f>IF(tblSeances[[#This Row],[ID]]="","",IFERROR((tblSeances[[#This Row],[Présents]]+tblSeances[[#This Row],[Retards]])/(tblSeances[[#This Row],[Présents]]+tblSeances[[#This Row],[Absents]]+tblSeances[[#This Row],[Retards]]+tblSeances[[#This Row],[Excusés]]),""))</f>
        <v>0</v>
      </c>
    </row>
  </sheetData>
  <sheetProtection password="D4C7" sheet="1" objects="1" scenarios="1" formatColumns="0" formatRows="0" autoFilter="0"/>
  <mergeCells count="2">
    <mergeCell ref="B2:U2"/>
    <mergeCell ref="B3:U3"/>
  </mergeCells>
  <conditionalFormatting sqref="K7:K3000">
    <cfRule type="cellIs" dxfId="4" priority="1" operator="equal">
      <formula>"Absent"</formula>
    </cfRule>
    <cfRule type="cellIs" dxfId="6" priority="2" operator="equal">
      <formula>"Retard"</formula>
    </cfRule>
    <cfRule type="cellIs" dxfId="5" priority="3" operator="equal">
      <formula>"Présent"</formula>
    </cfRule>
    <cfRule type="cellIs" dxfId="21" priority="4" operator="equal">
      <formula>"Remplacé"</formula>
    </cfRule>
  </conditionalFormatting>
  <conditionalFormatting sqref="T7:T3000">
    <cfRule type="dataBar" priority="5">
      <dataBar>
        <cfvo type="num" val="0"/>
        <cfvo type="num" val="1"/>
        <color rgb="FF9BC2E6"/>
      </dataBar>
      <extLst>
        <ext xmlns:x14="http://schemas.microsoft.com/office/spreadsheetml/2009/9/main" uri="{B025F937-C7B1-47D3-B67F-A62EFF666E3E}">
          <x14:id>{DA7ABA51-AAAA-BBBB-0004-000000000001}</x14:id>
        </ext>
      </extLst>
    </cfRule>
  </conditionalFormatting>
  <dataValidations count="4">
    <dataValidation type="list" allowBlank="1" showInputMessage="1" showErrorMessage="1" sqref="K7:K3000">
      <formula1>LstProf</formula1>
    </dataValidation>
    <dataValidation type="list" allowBlank="1" showInputMessage="1" showErrorMessage="1" sqref="M7:M3000">
      <formula1>LstTypes</formula1>
    </dataValidation>
    <dataValidation type="list" errorStyle="information" allowBlank="1" showInputMessage="1" showErrorMessage="1" sqref="L7:L3000">
      <formula1>LstEnseignants</formula1>
    </dataValidation>
    <dataValidation type="list" allowBlank="1" showInputMessage="1" showErrorMessage="1" sqref="H7:H30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4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9BC2E6"/>
              <x14:negativeFillColor rgb="FFFF0000"/>
              <x14:negativeBorderColor rgb="FFFF0000"/>
              <x14:axisColor rgb="FF000000"/>
            </x14:dataBar>
          </x14:cfRule>
          <xm:sqref>T7:T3000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Presences">
    <tabColor rgb="FFED7D31"/>
  </sheetPr>
  <dimension ref="A1:L6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9.7109375" customWidth="1"/>
    <col min="3" max="3" width="32.7109375" customWidth="1"/>
    <col min="4" max="4" width="10.7109375" customWidth="1"/>
    <col min="5" max="5" width="12.7109375" customWidth="1"/>
    <col min="6" max="6" width="30.7109375" customWidth="1"/>
    <col min="7" max="7" width="11.7109375" customWidth="1"/>
    <col min="8" max="9" width="8.7109375" customWidth="1"/>
    <col min="10" max="10" width="9.7109375" customWidth="1"/>
    <col min="11" max="11" width="28.7109375" customWidth="1"/>
    <col min="12" max="12" width="16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119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120</v>
      </c>
      <c r="C3" s="4"/>
      <c r="D3" s="4"/>
      <c r="E3" s="4"/>
      <c r="F3" s="4"/>
      <c r="G3" s="4"/>
      <c r="H3" s="4"/>
      <c r="I3" s="4"/>
      <c r="J3" s="4"/>
      <c r="K3" s="4"/>
      <c r="L3" s="4"/>
    </row>
    <row r="6" spans="2:12" ht="30" customHeight="1">
      <c r="B6" t="s">
        <v>121</v>
      </c>
      <c r="C6" t="s">
        <v>122</v>
      </c>
      <c r="D6" t="s">
        <v>103</v>
      </c>
      <c r="E6" t="s">
        <v>114</v>
      </c>
      <c r="F6" t="s">
        <v>14</v>
      </c>
      <c r="G6" t="s">
        <v>80</v>
      </c>
      <c r="H6" t="s">
        <v>123</v>
      </c>
      <c r="I6" t="s">
        <v>104</v>
      </c>
      <c r="J6" t="s">
        <v>105</v>
      </c>
      <c r="K6" t="s">
        <v>106</v>
      </c>
      <c r="L6" t="s">
        <v>124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I7:I60000">
    <cfRule type="cellIs" dxfId="7" priority="1" operator="equal">
      <formula>"P"</formula>
    </cfRule>
    <cfRule type="cellIs" dxfId="8" priority="2" operator="equal">
      <formula>"A"</formula>
    </cfRule>
    <cfRule type="cellIs" dxfId="9" priority="3" operator="equal">
      <formula>"R"</formula>
    </cfRule>
    <cfRule type="cellIs" dxfId="10" priority="4" operator="equal">
      <formula>"E"</formula>
    </cfRule>
  </conditionalFormatting>
  <dataValidations count="1">
    <dataValidation type="list" allowBlank="1" showInputMessage="1" showErrorMessage="1" sqref="I7:I60000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xposes">
    <tabColor rgb="FFED7D31"/>
  </sheetPr>
  <dimension ref="A1:K26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0.7109375" customWidth="1"/>
    <col min="4" max="4" width="10.7109375" customWidth="1"/>
    <col min="5" max="5" width="30.7109375" customWidth="1"/>
    <col min="6" max="7" width="12.7109375" customWidth="1"/>
    <col min="8" max="8" width="11.7109375" customWidth="1"/>
    <col min="9" max="9" width="9.7109375" customWidth="1"/>
    <col min="10" max="10" width="25.7109375" customWidth="1"/>
    <col min="11" max="11" width="22.7109375" customWidth="1"/>
  </cols>
  <sheetData>
    <row r="1" spans="2:11" ht="8" customHeight="1">
      <c r="B1" s="1" t="s">
        <v>1</v>
      </c>
      <c r="C1" s="1" t="s">
        <v>2</v>
      </c>
    </row>
    <row r="2" spans="2:11" ht="34" customHeight="1">
      <c r="B2" s="2" t="s">
        <v>125</v>
      </c>
      <c r="C2" s="2"/>
      <c r="D2" s="2"/>
      <c r="E2" s="2"/>
      <c r="F2" s="2"/>
      <c r="G2" s="2"/>
      <c r="H2" s="2"/>
      <c r="I2" s="2"/>
      <c r="J2" s="2"/>
      <c r="K2" s="2"/>
    </row>
    <row r="3" spans="2:11" ht="26" customHeight="1">
      <c r="B3" s="4" t="s">
        <v>126</v>
      </c>
      <c r="C3" s="4"/>
      <c r="D3" s="4"/>
      <c r="E3" s="4"/>
      <c r="F3" s="4"/>
      <c r="G3" s="4"/>
      <c r="H3" s="4"/>
      <c r="I3" s="4"/>
      <c r="J3" s="4"/>
      <c r="K3" s="4"/>
    </row>
    <row r="4" spans="2:11" ht="30" customHeight="1">
      <c r="B4" s="64" t="s">
        <v>14</v>
      </c>
      <c r="C4" s="65"/>
    </row>
    <row r="6" spans="2:11">
      <c r="B6" s="8" t="s">
        <v>127</v>
      </c>
      <c r="C6" s="8"/>
      <c r="D6" s="8"/>
      <c r="E6" s="8"/>
      <c r="F6" s="8"/>
      <c r="G6" s="8"/>
      <c r="H6" s="8"/>
      <c r="I6" s="8"/>
      <c r="J6" s="8"/>
      <c r="K6" s="8"/>
    </row>
    <row r="7" spans="2:11" ht="28" customHeight="1">
      <c r="B7" s="103" t="s">
        <v>13</v>
      </c>
      <c r="C7" s="103" t="s">
        <v>14</v>
      </c>
      <c r="D7" s="103" t="s">
        <v>128</v>
      </c>
      <c r="E7" s="103" t="s">
        <v>129</v>
      </c>
      <c r="F7" s="103" t="s">
        <v>130</v>
      </c>
      <c r="G7" s="103" t="s">
        <v>131</v>
      </c>
      <c r="H7" s="103"/>
      <c r="I7" s="103" t="s">
        <v>132</v>
      </c>
      <c r="J7" s="103"/>
      <c r="K7" s="103"/>
    </row>
    <row r="8" spans="2:11">
      <c r="B8" s="28">
        <f>IFERROR(INDEX(tblMatieres[Code],1),"")</f>
        <v>0</v>
      </c>
      <c r="C8" s="104">
        <f>IF($B8="","",INDEX(tblMatieres[Intitulé],1))</f>
        <v>0</v>
      </c>
      <c r="D8" s="27" cm="1">
        <f t="array" ref="D8">IF($B8="","",IF(COUNTIF(tblExposes[Code matière],$B8)=0,"—",_xlfn.LET(_xlpm.g,IF(COUNTIF(tblGroupes[Code matière],$B8)&gt;0,_xlfn.UNIQUE(_xlfn._xlws.FILTER(tblGroupes[Groupe],tblGroupes[Code matière]=$B8)),_xlfn.UNIQUE(_xlfn._xlws.FILTER(tblEtudiants[Groupe],tblEtudiants[Groupe]&lt;&gt;""))),ROWS(_xlpm.g))))</f>
        <v>0</v>
      </c>
      <c r="E8" s="27">
        <f>IF($B8="","",IF(COUNTIF(tblExposes[Code matière],$B8)=0,"—",COUNTIFS(tblExposes[Code matière],$B8,tblExposes[Statut],"Présenté")))</f>
        <v>0</v>
      </c>
      <c r="F8" s="27" cm="1">
        <f t="array" ref="F8">IF($B8="","",IF(COUNTIF(tblExposes[Code matière],$B8)=0,"—",_xlfn.LET(_xlpm.g,IF(COUNTIF(tblGroupes[Code matière],$B8)&gt;0,_xlfn.UNIQUE(_xlfn._xlws.FILTER(tblGroupes[Groupe],tblGroupes[Code matière]=$B8)),_xlfn.UNIQUE(_xlfn._xlws.FILTER(tblEtudiants[Groupe],tblEtudiants[Groupe]&lt;&gt;""))),_xlpm.p,_xlfn._xlws.FILTER(tblExposes[Groupe],(tblExposes[Code matière]=$B8)*(tblExposes[Statut]="Présenté"),""),SUM(--ISNA(MATCH(_xlpm.g,_xlpm.p,0))))))</f>
        <v>0</v>
      </c>
      <c r="G8" s="104" cm="1">
        <f t="array" ref="G8">IF($B8="","",IF(COUNTIF(tblExposes[Code matière],$B8)=0,"Aucun exposé programmé",_xlfn.LET(_xlpm.p,_xlfn.UNIQUE(_xlfn._xlws.FILTER(tblExposes[Groupe],(tblExposes[Code matière]=$B8)*(tblExposes[Statut]="Présenté"),"")),_xlpm.t,_xlfn.TEXTJOIN(", ",TRUE,_xlfn.SORTBY(_xlpm.p,LEN(_xlpm.p),1,_xlpm.p,1)),IF(_xlpm.t="","Aucun pour l'instant",_xlpm.t))))</f>
        <v>0</v>
      </c>
      <c r="H8" s="104"/>
      <c r="I8" s="104" cm="1">
        <f t="array" ref="I8">IF($B8="","",IF(COUNTIF(tblExposes[Code matière],$B8)=0,"",_xlfn.LET(_xlpm.g,IF(COUNTIF(tblGroupes[Code matière],$B8)&gt;0,_xlfn.UNIQUE(_xlfn._xlws.FILTER(tblGroupes[Groupe],tblGroupes[Code matière]=$B8)),_xlfn.UNIQUE(_xlfn._xlws.FILTER(tblEtudiants[Groupe],tblEtudiants[Groupe]&lt;&gt;""))),_xlpm.p,_xlfn._xlws.FILTER(tblExposes[Groupe],(tblExposes[Code matière]=$B8)*(tblExposes[Statut]="Présenté"),""),_xlpm.r,_xlfn._xlws.FILTER(_xlpm.g,ISNA(MATCH(_xlpm.g,_xlpm.p,0)),""),_xlpm.t,_xlfn.TEXTJOIN(",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8" s="104"/>
      <c r="K8" s="104"/>
    </row>
    <row r="9" spans="2:11">
      <c r="B9" s="31">
        <f>IFERROR(INDEX(tblMatieres[Code],2),"")</f>
        <v>0</v>
      </c>
      <c r="C9" s="105">
        <f>IF($B9="","",INDEX(tblMatieres[Intitulé],2))</f>
        <v>0</v>
      </c>
      <c r="D9" s="30" cm="1">
        <f t="array" ref="D9">IF($B9="","",IF(COUNTIF(tblExposes[Code matière],$B9)=0,"—",_xlfn.LET(_xlpm.g,IF(COUNTIF(tblGroupes[Code matière],$B9)&gt;0,_xlfn.UNIQUE(_xlfn._xlws.FILTER(tblGroupes[Groupe],tblGroupes[Code matière]=$B9)),_xlfn.UNIQUE(_xlfn._xlws.FILTER(tblEtudiants[Groupe],tblEtudiants[Groupe]&lt;&gt;""))),ROWS(_xlpm.g))))</f>
        <v>0</v>
      </c>
      <c r="E9" s="30">
        <f>IF($B9="","",IF(COUNTIF(tblExposes[Code matière],$B9)=0,"—",COUNTIFS(tblExposes[Code matière],$B9,tblExposes[Statut],"Présenté")))</f>
        <v>0</v>
      </c>
      <c r="F9" s="30" cm="1">
        <f t="array" ref="F9">IF($B9="","",IF(COUNTIF(tblExposes[Code matière],$B9)=0,"—",_xlfn.LET(_xlpm.g,IF(COUNTIF(tblGroupes[Code matière],$B9)&gt;0,_xlfn.UNIQUE(_xlfn._xlws.FILTER(tblGroupes[Groupe],tblGroupes[Code matière]=$B9)),_xlfn.UNIQUE(_xlfn._xlws.FILTER(tblEtudiants[Groupe],tblEtudiants[Groupe]&lt;&gt;""))),_xlpm.p,_xlfn._xlws.FILTER(tblExposes[Groupe],(tblExposes[Code matière]=$B9)*(tblExposes[Statut]="Présenté"),""),SUM(--ISNA(MATCH(_xlpm.g,_xlpm.p,0))))))</f>
        <v>0</v>
      </c>
      <c r="G9" s="105" cm="1">
        <f t="array" ref="G9">IF($B9="","",IF(COUNTIF(tblExposes[Code matière],$B9)=0,"Aucun exposé programmé",_xlfn.LET(_xlpm.p,_xlfn.UNIQUE(_xlfn._xlws.FILTER(tblExposes[Groupe],(tblExposes[Code matière]=$B9)*(tblExposes[Statut]="Présenté"),"")),_xlpm.t,_xlfn.TEXTJOIN(", ",TRUE,_xlfn.SORTBY(_xlpm.p,LEN(_xlpm.p),1,_xlpm.p,1)),IF(_xlpm.t="","Aucun pour l'instant",_xlpm.t))))</f>
        <v>0</v>
      </c>
      <c r="H9" s="105"/>
      <c r="I9" s="105" cm="1">
        <f t="array" ref="I9">IF($B9="","",IF(COUNTIF(tblExposes[Code matière],$B9)=0,"",_xlfn.LET(_xlpm.g,IF(COUNTIF(tblGroupes[Code matière],$B9)&gt;0,_xlfn.UNIQUE(_xlfn._xlws.FILTER(tblGroupes[Groupe],tblGroupes[Code matière]=$B9)),_xlfn.UNIQUE(_xlfn._xlws.FILTER(tblEtudiants[Groupe],tblEtudiants[Groupe]&lt;&gt;""))),_xlpm.p,_xlfn._xlws.FILTER(tblExposes[Groupe],(tblExposes[Code matière]=$B9)*(tblExposes[Statut]="Présenté"),""),_xlpm.r,_xlfn._xlws.FILTER(_xlpm.g,ISNA(MATCH(_xlpm.g,_xlpm.p,0)),""),_xlpm.t,_xlfn.TEXTJOIN(",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9" s="105"/>
      <c r="K9" s="105"/>
    </row>
    <row r="10" spans="2:11">
      <c r="B10" s="28">
        <f>IFERROR(INDEX(tblMatieres[Code],3),"")</f>
        <v>0</v>
      </c>
      <c r="C10" s="104">
        <f>IF($B10="","",INDEX(tblMatieres[Intitulé],3))</f>
        <v>0</v>
      </c>
      <c r="D10" s="27" cm="1">
        <f t="array" ref="D10">IF($B10="","",IF(COUNTIF(tblExposes[Code matière],$B10)=0,"—",_xlfn.LET(_xlpm.g,IF(COUNTIF(tblGroupes[Code matière],$B10)&gt;0,_xlfn.UNIQUE(_xlfn._xlws.FILTER(tblGroupes[Groupe],tblGroupes[Code matière]=$B10)),_xlfn.UNIQUE(_xlfn._xlws.FILTER(tblEtudiants[Groupe],tblEtudiants[Groupe]&lt;&gt;""))),ROWS(_xlpm.g))))</f>
        <v>0</v>
      </c>
      <c r="E10" s="27">
        <f>IF($B10="","",IF(COUNTIF(tblExposes[Code matière],$B10)=0,"—",COUNTIFS(tblExposes[Code matière],$B10,tblExposes[Statut],"Présenté")))</f>
        <v>0</v>
      </c>
      <c r="F10" s="27" cm="1">
        <f t="array" ref="F10">IF($B10="","",IF(COUNTIF(tblExposes[Code matière],$B10)=0,"—",_xlfn.LET(_xlpm.g,IF(COUNTIF(tblGroupes[Code matière],$B10)&gt;0,_xlfn.UNIQUE(_xlfn._xlws.FILTER(tblGroupes[Groupe],tblGroupes[Code matière]=$B10)),_xlfn.UNIQUE(_xlfn._xlws.FILTER(tblEtudiants[Groupe],tblEtudiants[Groupe]&lt;&gt;""))),_xlpm.p,_xlfn._xlws.FILTER(tblExposes[Groupe],(tblExposes[Code matière]=$B10)*(tblExposes[Statut]="Présenté"),""),SUM(--ISNA(MATCH(_xlpm.g,_xlpm.p,0))))))</f>
        <v>0</v>
      </c>
      <c r="G10" s="104" cm="1">
        <f t="array" ref="G10">IF($B10="","",IF(COUNTIF(tblExposes[Code matière],$B10)=0,"Aucun exposé programmé",_xlfn.LET(_xlpm.p,_xlfn.UNIQUE(_xlfn._xlws.FILTER(tblExposes[Groupe],(tblExposes[Code matière]=$B10)*(tblExposes[Statut]="Présenté"),"")),_xlpm.t,_xlfn.TEXTJOIN(", ",TRUE,_xlfn.SORTBY(_xlpm.p,LEN(_xlpm.p),1,_xlpm.p,1)),IF(_xlpm.t="","Aucun pour l'instant",_xlpm.t))))</f>
        <v>0</v>
      </c>
      <c r="H10" s="104"/>
      <c r="I10" s="104" cm="1">
        <f t="array" ref="I10">IF($B10="","",IF(COUNTIF(tblExposes[Code matière],$B10)=0,"",_xlfn.LET(_xlpm.g,IF(COUNTIF(tblGroupes[Code matière],$B10)&gt;0,_xlfn.UNIQUE(_xlfn._xlws.FILTER(tblGroupes[Groupe],tblGroupes[Code matière]=$B10)),_xlfn.UNIQUE(_xlfn._xlws.FILTER(tblEtudiants[Groupe],tblEtudiants[Groupe]&lt;&gt;""))),_xlpm.p,_xlfn._xlws.FILTER(tblExposes[Groupe],(tblExposes[Code matière]=$B10)*(tblExposes[Statut]="Présenté"),""),_xlpm.r,_xlfn._xlws.FILTER(_xlpm.g,ISNA(MATCH(_xlpm.g,_xlpm.p,0)),""),_xlpm.t,_xlfn.TEXTJOIN(",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0" s="104"/>
      <c r="K10" s="104"/>
    </row>
    <row r="11" spans="2:11">
      <c r="B11" s="31">
        <f>IFERROR(INDEX(tblMatieres[Code],4),"")</f>
        <v>0</v>
      </c>
      <c r="C11" s="105">
        <f>IF($B11="","",INDEX(tblMatieres[Intitulé],4))</f>
        <v>0</v>
      </c>
      <c r="D11" s="30" cm="1">
        <f t="array" ref="D11">IF($B11="","",IF(COUNTIF(tblExposes[Code matière],$B11)=0,"—",_xlfn.LET(_xlpm.g,IF(COUNTIF(tblGroupes[Code matière],$B11)&gt;0,_xlfn.UNIQUE(_xlfn._xlws.FILTER(tblGroupes[Groupe],tblGroupes[Code matière]=$B11)),_xlfn.UNIQUE(_xlfn._xlws.FILTER(tblEtudiants[Groupe],tblEtudiants[Groupe]&lt;&gt;""))),ROWS(_xlpm.g))))</f>
        <v>0</v>
      </c>
      <c r="E11" s="30">
        <f>IF($B11="","",IF(COUNTIF(tblExposes[Code matière],$B11)=0,"—",COUNTIFS(tblExposes[Code matière],$B11,tblExposes[Statut],"Présenté")))</f>
        <v>0</v>
      </c>
      <c r="F11" s="30" cm="1">
        <f t="array" ref="F11">IF($B11="","",IF(COUNTIF(tblExposes[Code matière],$B11)=0,"—",_xlfn.LET(_xlpm.g,IF(COUNTIF(tblGroupes[Code matière],$B11)&gt;0,_xlfn.UNIQUE(_xlfn._xlws.FILTER(tblGroupes[Groupe],tblGroupes[Code matière]=$B11)),_xlfn.UNIQUE(_xlfn._xlws.FILTER(tblEtudiants[Groupe],tblEtudiants[Groupe]&lt;&gt;""))),_xlpm.p,_xlfn._xlws.FILTER(tblExposes[Groupe],(tblExposes[Code matière]=$B11)*(tblExposes[Statut]="Présenté"),""),SUM(--ISNA(MATCH(_xlpm.g,_xlpm.p,0))))))</f>
        <v>0</v>
      </c>
      <c r="G11" s="105" cm="1">
        <f t="array" ref="G11">IF($B11="","",IF(COUNTIF(tblExposes[Code matière],$B11)=0,"Aucun exposé programmé",_xlfn.LET(_xlpm.p,_xlfn.UNIQUE(_xlfn._xlws.FILTER(tblExposes[Groupe],(tblExposes[Code matière]=$B11)*(tblExposes[Statut]="Présenté"),"")),_xlpm.t,_xlfn.TEXTJOIN(", ",TRUE,_xlfn.SORTBY(_xlpm.p,LEN(_xlpm.p),1,_xlpm.p,1)),IF(_xlpm.t="","Aucun pour l'instant",_xlpm.t))))</f>
        <v>0</v>
      </c>
      <c r="H11" s="105"/>
      <c r="I11" s="105" cm="1">
        <f t="array" ref="I11">IF($B11="","",IF(COUNTIF(tblExposes[Code matière],$B11)=0,"",_xlfn.LET(_xlpm.g,IF(COUNTIF(tblGroupes[Code matière],$B11)&gt;0,_xlfn.UNIQUE(_xlfn._xlws.FILTER(tblGroupes[Groupe],tblGroupes[Code matière]=$B11)),_xlfn.UNIQUE(_xlfn._xlws.FILTER(tblEtudiants[Groupe],tblEtudiants[Groupe]&lt;&gt;""))),_xlpm.p,_xlfn._xlws.FILTER(tblExposes[Groupe],(tblExposes[Code matière]=$B11)*(tblExposes[Statut]="Présenté"),""),_xlpm.r,_xlfn._xlws.FILTER(_xlpm.g,ISNA(MATCH(_xlpm.g,_xlpm.p,0)),""),_xlpm.t,_xlfn.TEXTJOIN(",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1" s="105"/>
      <c r="K11" s="105"/>
    </row>
    <row r="12" spans="2:11">
      <c r="B12" s="28">
        <f>IFERROR(INDEX(tblMatieres[Code],5),"")</f>
        <v>0</v>
      </c>
      <c r="C12" s="104">
        <f>IF($B12="","",INDEX(tblMatieres[Intitulé],5))</f>
        <v>0</v>
      </c>
      <c r="D12" s="27" cm="1">
        <f t="array" ref="D12">IF($B12="","",IF(COUNTIF(tblExposes[Code matière],$B12)=0,"—",_xlfn.LET(_xlpm.g,IF(COUNTIF(tblGroupes[Code matière],$B12)&gt;0,_xlfn.UNIQUE(_xlfn._xlws.FILTER(tblGroupes[Groupe],tblGroupes[Code matière]=$B12)),_xlfn.UNIQUE(_xlfn._xlws.FILTER(tblEtudiants[Groupe],tblEtudiants[Groupe]&lt;&gt;""))),ROWS(_xlpm.g))))</f>
        <v>0</v>
      </c>
      <c r="E12" s="27">
        <f>IF($B12="","",IF(COUNTIF(tblExposes[Code matière],$B12)=0,"—",COUNTIFS(tblExposes[Code matière],$B12,tblExposes[Statut],"Présenté")))</f>
        <v>0</v>
      </c>
      <c r="F12" s="27" cm="1">
        <f t="array" ref="F12">IF($B12="","",IF(COUNTIF(tblExposes[Code matière],$B12)=0,"—",_xlfn.LET(_xlpm.g,IF(COUNTIF(tblGroupes[Code matière],$B12)&gt;0,_xlfn.UNIQUE(_xlfn._xlws.FILTER(tblGroupes[Groupe],tblGroupes[Code matière]=$B12)),_xlfn.UNIQUE(_xlfn._xlws.FILTER(tblEtudiants[Groupe],tblEtudiants[Groupe]&lt;&gt;""))),_xlpm.p,_xlfn._xlws.FILTER(tblExposes[Groupe],(tblExposes[Code matière]=$B12)*(tblExposes[Statut]="Présenté"),""),SUM(--ISNA(MATCH(_xlpm.g,_xlpm.p,0))))))</f>
        <v>0</v>
      </c>
      <c r="G12" s="104" cm="1">
        <f t="array" ref="G12">IF($B12="","",IF(COUNTIF(tblExposes[Code matière],$B12)=0,"Aucun exposé programmé",_xlfn.LET(_xlpm.p,_xlfn.UNIQUE(_xlfn._xlws.FILTER(tblExposes[Groupe],(tblExposes[Code matière]=$B12)*(tblExposes[Statut]="Présenté"),"")),_xlpm.t,_xlfn.TEXTJOIN(", ",TRUE,_xlfn.SORTBY(_xlpm.p,LEN(_xlpm.p),1,_xlpm.p,1)),IF(_xlpm.t="","Aucun pour l'instant",_xlpm.t))))</f>
        <v>0</v>
      </c>
      <c r="H12" s="104"/>
      <c r="I12" s="104" cm="1">
        <f t="array" ref="I12">IF($B12="","",IF(COUNTIF(tblExposes[Code matière],$B12)=0,"",_xlfn.LET(_xlpm.g,IF(COUNTIF(tblGroupes[Code matière],$B12)&gt;0,_xlfn.UNIQUE(_xlfn._xlws.FILTER(tblGroupes[Groupe],tblGroupes[Code matière]=$B12)),_xlfn.UNIQUE(_xlfn._xlws.FILTER(tblEtudiants[Groupe],tblEtudiants[Groupe]&lt;&gt;""))),_xlpm.p,_xlfn._xlws.FILTER(tblExposes[Groupe],(tblExposes[Code matière]=$B12)*(tblExposes[Statut]="Présenté"),""),_xlpm.r,_xlfn._xlws.FILTER(_xlpm.g,ISNA(MATCH(_xlpm.g,_xlpm.p,0)),""),_xlpm.t,_xlfn.TEXTJOIN(",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2" s="104"/>
      <c r="K12" s="104"/>
    </row>
    <row r="13" spans="2:11">
      <c r="B13" s="31">
        <f>IFERROR(INDEX(tblMatieres[Code],6),"")</f>
        <v>0</v>
      </c>
      <c r="C13" s="105">
        <f>IF($B13="","",INDEX(tblMatieres[Intitulé],6))</f>
        <v>0</v>
      </c>
      <c r="D13" s="30" cm="1">
        <f t="array" ref="D13">IF($B13="","",IF(COUNTIF(tblExposes[Code matière],$B13)=0,"—",_xlfn.LET(_xlpm.g,IF(COUNTIF(tblGroupes[Code matière],$B13)&gt;0,_xlfn.UNIQUE(_xlfn._xlws.FILTER(tblGroupes[Groupe],tblGroupes[Code matière]=$B13)),_xlfn.UNIQUE(_xlfn._xlws.FILTER(tblEtudiants[Groupe],tblEtudiants[Groupe]&lt;&gt;""))),ROWS(_xlpm.g))))</f>
        <v>0</v>
      </c>
      <c r="E13" s="30">
        <f>IF($B13="","",IF(COUNTIF(tblExposes[Code matière],$B13)=0,"—",COUNTIFS(tblExposes[Code matière],$B13,tblExposes[Statut],"Présenté")))</f>
        <v>0</v>
      </c>
      <c r="F13" s="30" cm="1">
        <f t="array" ref="F13">IF($B13="","",IF(COUNTIF(tblExposes[Code matière],$B13)=0,"—",_xlfn.LET(_xlpm.g,IF(COUNTIF(tblGroupes[Code matière],$B13)&gt;0,_xlfn.UNIQUE(_xlfn._xlws.FILTER(tblGroupes[Groupe],tblGroupes[Code matière]=$B13)),_xlfn.UNIQUE(_xlfn._xlws.FILTER(tblEtudiants[Groupe],tblEtudiants[Groupe]&lt;&gt;""))),_xlpm.p,_xlfn._xlws.FILTER(tblExposes[Groupe],(tblExposes[Code matière]=$B13)*(tblExposes[Statut]="Présenté"),""),SUM(--ISNA(MATCH(_xlpm.g,_xlpm.p,0))))))</f>
        <v>0</v>
      </c>
      <c r="G13" s="105" cm="1">
        <f t="array" ref="G13">IF($B13="","",IF(COUNTIF(tblExposes[Code matière],$B13)=0,"Aucun exposé programmé",_xlfn.LET(_xlpm.p,_xlfn.UNIQUE(_xlfn._xlws.FILTER(tblExposes[Groupe],(tblExposes[Code matière]=$B13)*(tblExposes[Statut]="Présenté"),"")),_xlpm.t,_xlfn.TEXTJOIN(", ",TRUE,_xlfn.SORTBY(_xlpm.p,LEN(_xlpm.p),1,_xlpm.p,1)),IF(_xlpm.t="","Aucun pour l'instant",_xlpm.t))))</f>
        <v>0</v>
      </c>
      <c r="H13" s="105"/>
      <c r="I13" s="105" cm="1">
        <f t="array" ref="I13">IF($B13="","",IF(COUNTIF(tblExposes[Code matière],$B13)=0,"",_xlfn.LET(_xlpm.g,IF(COUNTIF(tblGroupes[Code matière],$B13)&gt;0,_xlfn.UNIQUE(_xlfn._xlws.FILTER(tblGroupes[Groupe],tblGroupes[Code matière]=$B13)),_xlfn.UNIQUE(_xlfn._xlws.FILTER(tblEtudiants[Groupe],tblEtudiants[Groupe]&lt;&gt;""))),_xlpm.p,_xlfn._xlws.FILTER(tblExposes[Groupe],(tblExposes[Code matière]=$B13)*(tblExposes[Statut]="Présenté"),""),_xlpm.r,_xlfn._xlws.FILTER(_xlpm.g,ISNA(MATCH(_xlpm.g,_xlpm.p,0)),""),_xlpm.t,_xlfn.TEXTJOIN(",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3" s="105"/>
      <c r="K13" s="105"/>
    </row>
    <row r="14" spans="2:11">
      <c r="B14" s="28">
        <f>IFERROR(INDEX(tblMatieres[Code],7),"")</f>
        <v>0</v>
      </c>
      <c r="C14" s="104">
        <f>IF($B14="","",INDEX(tblMatieres[Intitulé],7))</f>
        <v>0</v>
      </c>
      <c r="D14" s="27" cm="1">
        <f t="array" ref="D14">IF($B14="","",IF(COUNTIF(tblExposes[Code matière],$B14)=0,"—",_xlfn.LET(_xlpm.g,IF(COUNTIF(tblGroupes[Code matière],$B14)&gt;0,_xlfn.UNIQUE(_xlfn._xlws.FILTER(tblGroupes[Groupe],tblGroupes[Code matière]=$B14)),_xlfn.UNIQUE(_xlfn._xlws.FILTER(tblEtudiants[Groupe],tblEtudiants[Groupe]&lt;&gt;""))),ROWS(_xlpm.g))))</f>
        <v>0</v>
      </c>
      <c r="E14" s="27">
        <f>IF($B14="","",IF(COUNTIF(tblExposes[Code matière],$B14)=0,"—",COUNTIFS(tblExposes[Code matière],$B14,tblExposes[Statut],"Présenté")))</f>
        <v>0</v>
      </c>
      <c r="F14" s="27" cm="1">
        <f t="array" ref="F14">IF($B14="","",IF(COUNTIF(tblExposes[Code matière],$B14)=0,"—",_xlfn.LET(_xlpm.g,IF(COUNTIF(tblGroupes[Code matière],$B14)&gt;0,_xlfn.UNIQUE(_xlfn._xlws.FILTER(tblGroupes[Groupe],tblGroupes[Code matière]=$B14)),_xlfn.UNIQUE(_xlfn._xlws.FILTER(tblEtudiants[Groupe],tblEtudiants[Groupe]&lt;&gt;""))),_xlpm.p,_xlfn._xlws.FILTER(tblExposes[Groupe],(tblExposes[Code matière]=$B14)*(tblExposes[Statut]="Présenté"),""),SUM(--ISNA(MATCH(_xlpm.g,_xlpm.p,0))))))</f>
        <v>0</v>
      </c>
      <c r="G14" s="104" cm="1">
        <f t="array" ref="G14">IF($B14="","",IF(COUNTIF(tblExposes[Code matière],$B14)=0,"Aucun exposé programmé",_xlfn.LET(_xlpm.p,_xlfn.UNIQUE(_xlfn._xlws.FILTER(tblExposes[Groupe],(tblExposes[Code matière]=$B14)*(tblExposes[Statut]="Présenté"),"")),_xlpm.t,_xlfn.TEXTJOIN(", ",TRUE,_xlfn.SORTBY(_xlpm.p,LEN(_xlpm.p),1,_xlpm.p,1)),IF(_xlpm.t="","Aucun pour l'instant",_xlpm.t))))</f>
        <v>0</v>
      </c>
      <c r="H14" s="104"/>
      <c r="I14" s="104" cm="1">
        <f t="array" ref="I14">IF($B14="","",IF(COUNTIF(tblExposes[Code matière],$B14)=0,"",_xlfn.LET(_xlpm.g,IF(COUNTIF(tblGroupes[Code matière],$B14)&gt;0,_xlfn.UNIQUE(_xlfn._xlws.FILTER(tblGroupes[Groupe],tblGroupes[Code matière]=$B14)),_xlfn.UNIQUE(_xlfn._xlws.FILTER(tblEtudiants[Groupe],tblEtudiants[Groupe]&lt;&gt;""))),_xlpm.p,_xlfn._xlws.FILTER(tblExposes[Groupe],(tblExposes[Code matière]=$B14)*(tblExposes[Statut]="Présenté"),""),_xlpm.r,_xlfn._xlws.FILTER(_xlpm.g,ISNA(MATCH(_xlpm.g,_xlpm.p,0)),""),_xlpm.t,_xlfn.TEXTJOIN(",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4" s="104"/>
      <c r="K14" s="104"/>
    </row>
    <row r="15" spans="2:11">
      <c r="B15" s="31">
        <f>IFERROR(INDEX(tblMatieres[Code],8),"")</f>
        <v>0</v>
      </c>
      <c r="C15" s="105">
        <f>IF($B15="","",INDEX(tblMatieres[Intitulé],8))</f>
        <v>0</v>
      </c>
      <c r="D15" s="30" cm="1">
        <f t="array" ref="D15">IF($B15="","",IF(COUNTIF(tblExposes[Code matière],$B15)=0,"—",_xlfn.LET(_xlpm.g,IF(COUNTIF(tblGroupes[Code matière],$B15)&gt;0,_xlfn.UNIQUE(_xlfn._xlws.FILTER(tblGroupes[Groupe],tblGroupes[Code matière]=$B15)),_xlfn.UNIQUE(_xlfn._xlws.FILTER(tblEtudiants[Groupe],tblEtudiants[Groupe]&lt;&gt;""))),ROWS(_xlpm.g))))</f>
        <v>0</v>
      </c>
      <c r="E15" s="30">
        <f>IF($B15="","",IF(COUNTIF(tblExposes[Code matière],$B15)=0,"—",COUNTIFS(tblExposes[Code matière],$B15,tblExposes[Statut],"Présenté")))</f>
        <v>0</v>
      </c>
      <c r="F15" s="30" cm="1">
        <f t="array" ref="F15">IF($B15="","",IF(COUNTIF(tblExposes[Code matière],$B15)=0,"—",_xlfn.LET(_xlpm.g,IF(COUNTIF(tblGroupes[Code matière],$B15)&gt;0,_xlfn.UNIQUE(_xlfn._xlws.FILTER(tblGroupes[Groupe],tblGroupes[Code matière]=$B15)),_xlfn.UNIQUE(_xlfn._xlws.FILTER(tblEtudiants[Groupe],tblEtudiants[Groupe]&lt;&gt;""))),_xlpm.p,_xlfn._xlws.FILTER(tblExposes[Groupe],(tblExposes[Code matière]=$B15)*(tblExposes[Statut]="Présenté"),""),SUM(--ISNA(MATCH(_xlpm.g,_xlpm.p,0))))))</f>
        <v>0</v>
      </c>
      <c r="G15" s="105" cm="1">
        <f t="array" ref="G15">IF($B15="","",IF(COUNTIF(tblExposes[Code matière],$B15)=0,"Aucun exposé programmé",_xlfn.LET(_xlpm.p,_xlfn.UNIQUE(_xlfn._xlws.FILTER(tblExposes[Groupe],(tblExposes[Code matière]=$B15)*(tblExposes[Statut]="Présenté"),"")),_xlpm.t,_xlfn.TEXTJOIN(", ",TRUE,_xlfn.SORTBY(_xlpm.p,LEN(_xlpm.p),1,_xlpm.p,1)),IF(_xlpm.t="","Aucun pour l'instant",_xlpm.t))))</f>
        <v>0</v>
      </c>
      <c r="H15" s="105"/>
      <c r="I15" s="105" cm="1">
        <f t="array" ref="I15">IF($B15="","",IF(COUNTIF(tblExposes[Code matière],$B15)=0,"",_xlfn.LET(_xlpm.g,IF(COUNTIF(tblGroupes[Code matière],$B15)&gt;0,_xlfn.UNIQUE(_xlfn._xlws.FILTER(tblGroupes[Groupe],tblGroupes[Code matière]=$B15)),_xlfn.UNIQUE(_xlfn._xlws.FILTER(tblEtudiants[Groupe],tblEtudiants[Groupe]&lt;&gt;""))),_xlpm.p,_xlfn._xlws.FILTER(tblExposes[Groupe],(tblExposes[Code matière]=$B15)*(tblExposes[Statut]="Présenté"),""),_xlpm.r,_xlfn._xlws.FILTER(_xlpm.g,ISNA(MATCH(_xlpm.g,_xlpm.p,0)),""),_xlpm.t,_xlfn.TEXTJOIN(",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5" s="105"/>
      <c r="K15" s="105"/>
    </row>
    <row r="16" spans="2:11">
      <c r="B16" s="28">
        <f>IFERROR(INDEX(tblMatieres[Code],9),"")</f>
        <v>0</v>
      </c>
      <c r="C16" s="104">
        <f>IF($B16="","",INDEX(tblMatieres[Intitulé],9))</f>
        <v>0</v>
      </c>
      <c r="D16" s="27" cm="1">
        <f t="array" ref="D16">IF($B16="","",IF(COUNTIF(tblExposes[Code matière],$B16)=0,"—",_xlfn.LET(_xlpm.g,IF(COUNTIF(tblGroupes[Code matière],$B16)&gt;0,_xlfn.UNIQUE(_xlfn._xlws.FILTER(tblGroupes[Groupe],tblGroupes[Code matière]=$B16)),_xlfn.UNIQUE(_xlfn._xlws.FILTER(tblEtudiants[Groupe],tblEtudiants[Groupe]&lt;&gt;""))),ROWS(_xlpm.g))))</f>
        <v>0</v>
      </c>
      <c r="E16" s="27">
        <f>IF($B16="","",IF(COUNTIF(tblExposes[Code matière],$B16)=0,"—",COUNTIFS(tblExposes[Code matière],$B16,tblExposes[Statut],"Présenté")))</f>
        <v>0</v>
      </c>
      <c r="F16" s="27" cm="1">
        <f t="array" ref="F16">IF($B16="","",IF(COUNTIF(tblExposes[Code matière],$B16)=0,"—",_xlfn.LET(_xlpm.g,IF(COUNTIF(tblGroupes[Code matière],$B16)&gt;0,_xlfn.UNIQUE(_xlfn._xlws.FILTER(tblGroupes[Groupe],tblGroupes[Code matière]=$B16)),_xlfn.UNIQUE(_xlfn._xlws.FILTER(tblEtudiants[Groupe],tblEtudiants[Groupe]&lt;&gt;""))),_xlpm.p,_xlfn._xlws.FILTER(tblExposes[Groupe],(tblExposes[Code matière]=$B16)*(tblExposes[Statut]="Présenté"),""),SUM(--ISNA(MATCH(_xlpm.g,_xlpm.p,0))))))</f>
        <v>0</v>
      </c>
      <c r="G16" s="104" cm="1">
        <f t="array" ref="G16">IF($B16="","",IF(COUNTIF(tblExposes[Code matière],$B16)=0,"Aucun exposé programmé",_xlfn.LET(_xlpm.p,_xlfn.UNIQUE(_xlfn._xlws.FILTER(tblExposes[Groupe],(tblExposes[Code matière]=$B16)*(tblExposes[Statut]="Présenté"),"")),_xlpm.t,_xlfn.TEXTJOIN(", ",TRUE,_xlfn.SORTBY(_xlpm.p,LEN(_xlpm.p),1,_xlpm.p,1)),IF(_xlpm.t="","Aucun pour l'instant",_xlpm.t))))</f>
        <v>0</v>
      </c>
      <c r="H16" s="104"/>
      <c r="I16" s="104" cm="1">
        <f t="array" ref="I16">IF($B16="","",IF(COUNTIF(tblExposes[Code matière],$B16)=0,"",_xlfn.LET(_xlpm.g,IF(COUNTIF(tblGroupes[Code matière],$B16)&gt;0,_xlfn.UNIQUE(_xlfn._xlws.FILTER(tblGroupes[Groupe],tblGroupes[Code matière]=$B16)),_xlfn.UNIQUE(_xlfn._xlws.FILTER(tblEtudiants[Groupe],tblEtudiants[Groupe]&lt;&gt;""))),_xlpm.p,_xlfn._xlws.FILTER(tblExposes[Groupe],(tblExposes[Code matière]=$B16)*(tblExposes[Statut]="Présenté"),""),_xlpm.r,_xlfn._xlws.FILTER(_xlpm.g,ISNA(MATCH(_xlpm.g,_xlpm.p,0)),""),_xlpm.t,_xlfn.TEXTJOIN(",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6" s="104"/>
      <c r="K16" s="104"/>
    </row>
    <row r="17" spans="2:11">
      <c r="B17" s="31">
        <f>IFERROR(INDEX(tblMatieres[Code],10),"")</f>
        <v>0</v>
      </c>
      <c r="C17" s="105">
        <f>IF($B17="","",INDEX(tblMatieres[Intitulé],10))</f>
        <v>0</v>
      </c>
      <c r="D17" s="30" cm="1">
        <f t="array" ref="D17">IF($B17="","",IF(COUNTIF(tblExposes[Code matière],$B17)=0,"—",_xlfn.LET(_xlpm.g,IF(COUNTIF(tblGroupes[Code matière],$B17)&gt;0,_xlfn.UNIQUE(_xlfn._xlws.FILTER(tblGroupes[Groupe],tblGroupes[Code matière]=$B17)),_xlfn.UNIQUE(_xlfn._xlws.FILTER(tblEtudiants[Groupe],tblEtudiants[Groupe]&lt;&gt;""))),ROWS(_xlpm.g))))</f>
        <v>0</v>
      </c>
      <c r="E17" s="30">
        <f>IF($B17="","",IF(COUNTIF(tblExposes[Code matière],$B17)=0,"—",COUNTIFS(tblExposes[Code matière],$B17,tblExposes[Statut],"Présenté")))</f>
        <v>0</v>
      </c>
      <c r="F17" s="30" cm="1">
        <f t="array" ref="F17">IF($B17="","",IF(COUNTIF(tblExposes[Code matière],$B17)=0,"—",_xlfn.LET(_xlpm.g,IF(COUNTIF(tblGroupes[Code matière],$B17)&gt;0,_xlfn.UNIQUE(_xlfn._xlws.FILTER(tblGroupes[Groupe],tblGroupes[Code matière]=$B17)),_xlfn.UNIQUE(_xlfn._xlws.FILTER(tblEtudiants[Groupe],tblEtudiants[Groupe]&lt;&gt;""))),_xlpm.p,_xlfn._xlws.FILTER(tblExposes[Groupe],(tblExposes[Code matière]=$B17)*(tblExposes[Statut]="Présenté"),""),SUM(--ISNA(MATCH(_xlpm.g,_xlpm.p,0))))))</f>
        <v>0</v>
      </c>
      <c r="G17" s="105" cm="1">
        <f t="array" ref="G17">IF($B17="","",IF(COUNTIF(tblExposes[Code matière],$B17)=0,"Aucun exposé programmé",_xlfn.LET(_xlpm.p,_xlfn.UNIQUE(_xlfn._xlws.FILTER(tblExposes[Groupe],(tblExposes[Code matière]=$B17)*(tblExposes[Statut]="Présenté"),"")),_xlpm.t,_xlfn.TEXTJOIN(", ",TRUE,_xlfn.SORTBY(_xlpm.p,LEN(_xlpm.p),1,_xlpm.p,1)),IF(_xlpm.t="","Aucun pour l'instant",_xlpm.t))))</f>
        <v>0</v>
      </c>
      <c r="H17" s="105"/>
      <c r="I17" s="105" cm="1">
        <f t="array" ref="I17">IF($B17="","",IF(COUNTIF(tblExposes[Code matière],$B17)=0,"",_xlfn.LET(_xlpm.g,IF(COUNTIF(tblGroupes[Code matière],$B17)&gt;0,_xlfn.UNIQUE(_xlfn._xlws.FILTER(tblGroupes[Groupe],tblGroupes[Code matière]=$B17)),_xlfn.UNIQUE(_xlfn._xlws.FILTER(tblEtudiants[Groupe],tblEtudiants[Groupe]&lt;&gt;""))),_xlpm.p,_xlfn._xlws.FILTER(tblExposes[Groupe],(tblExposes[Code matière]=$B17)*(tblExposes[Statut]="Présenté"),""),_xlpm.r,_xlfn._xlws.FILTER(_xlpm.g,ISNA(MATCH(_xlpm.g,_xlpm.p,0)),""),_xlpm.t,_xlfn.TEXTJOIN(",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7" s="105"/>
      <c r="K17" s="105"/>
    </row>
    <row r="18" spans="2:11">
      <c r="B18" s="28">
        <f>IFERROR(INDEX(tblMatieres[Code],11),"")</f>
        <v>0</v>
      </c>
      <c r="C18" s="104">
        <f>IF($B18="","",INDEX(tblMatieres[Intitulé],11))</f>
        <v>0</v>
      </c>
      <c r="D18" s="27" cm="1">
        <f t="array" ref="D18">IF($B18="","",IF(COUNTIF(tblExposes[Code matière],$B18)=0,"—",_xlfn.LET(_xlpm.g,IF(COUNTIF(tblGroupes[Code matière],$B18)&gt;0,_xlfn.UNIQUE(_xlfn._xlws.FILTER(tblGroupes[Groupe],tblGroupes[Code matière]=$B18)),_xlfn.UNIQUE(_xlfn._xlws.FILTER(tblEtudiants[Groupe],tblEtudiants[Groupe]&lt;&gt;""))),ROWS(_xlpm.g))))</f>
        <v>0</v>
      </c>
      <c r="E18" s="27">
        <f>IF($B18="","",IF(COUNTIF(tblExposes[Code matière],$B18)=0,"—",COUNTIFS(tblExposes[Code matière],$B18,tblExposes[Statut],"Présenté")))</f>
        <v>0</v>
      </c>
      <c r="F18" s="27" cm="1">
        <f t="array" ref="F18">IF($B18="","",IF(COUNTIF(tblExposes[Code matière],$B18)=0,"—",_xlfn.LET(_xlpm.g,IF(COUNTIF(tblGroupes[Code matière],$B18)&gt;0,_xlfn.UNIQUE(_xlfn._xlws.FILTER(tblGroupes[Groupe],tblGroupes[Code matière]=$B18)),_xlfn.UNIQUE(_xlfn._xlws.FILTER(tblEtudiants[Groupe],tblEtudiants[Groupe]&lt;&gt;""))),_xlpm.p,_xlfn._xlws.FILTER(tblExposes[Groupe],(tblExposes[Code matière]=$B18)*(tblExposes[Statut]="Présenté"),""),SUM(--ISNA(MATCH(_xlpm.g,_xlpm.p,0))))))</f>
        <v>0</v>
      </c>
      <c r="G18" s="104" cm="1">
        <f t="array" ref="G18">IF($B18="","",IF(COUNTIF(tblExposes[Code matière],$B18)=0,"Aucun exposé programmé",_xlfn.LET(_xlpm.p,_xlfn.UNIQUE(_xlfn._xlws.FILTER(tblExposes[Groupe],(tblExposes[Code matière]=$B18)*(tblExposes[Statut]="Présenté"),"")),_xlpm.t,_xlfn.TEXTJOIN(", ",TRUE,_xlfn.SORTBY(_xlpm.p,LEN(_xlpm.p),1,_xlpm.p,1)),IF(_xlpm.t="","Aucun pour l'instant",_xlpm.t))))</f>
        <v>0</v>
      </c>
      <c r="H18" s="104"/>
      <c r="I18" s="104" cm="1">
        <f t="array" ref="I18">IF($B18="","",IF(COUNTIF(tblExposes[Code matière],$B18)=0,"",_xlfn.LET(_xlpm.g,IF(COUNTIF(tblGroupes[Code matière],$B18)&gt;0,_xlfn.UNIQUE(_xlfn._xlws.FILTER(tblGroupes[Groupe],tblGroupes[Code matière]=$B18)),_xlfn.UNIQUE(_xlfn._xlws.FILTER(tblEtudiants[Groupe],tblEtudiants[Groupe]&lt;&gt;""))),_xlpm.p,_xlfn._xlws.FILTER(tblExposes[Groupe],(tblExposes[Code matière]=$B18)*(tblExposes[Statut]="Présenté"),""),_xlpm.r,_xlfn._xlws.FILTER(_xlpm.g,ISNA(MATCH(_xlpm.g,_xlpm.p,0)),""),_xlpm.t,_xlfn.TEXTJOIN(",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8" s="104"/>
      <c r="K18" s="104"/>
    </row>
    <row r="19" spans="2:11">
      <c r="B19" s="31">
        <f>IFERROR(INDEX(tblMatieres[Code],12),"")</f>
        <v>0</v>
      </c>
      <c r="C19" s="105">
        <f>IF($B19="","",INDEX(tblMatieres[Intitulé],12))</f>
        <v>0</v>
      </c>
      <c r="D19" s="30" cm="1">
        <f t="array" ref="D19">IF($B19="","",IF(COUNTIF(tblExposes[Code matière],$B19)=0,"—",_xlfn.LET(_xlpm.g,IF(COUNTIF(tblGroupes[Code matière],$B19)&gt;0,_xlfn.UNIQUE(_xlfn._xlws.FILTER(tblGroupes[Groupe],tblGroupes[Code matière]=$B19)),_xlfn.UNIQUE(_xlfn._xlws.FILTER(tblEtudiants[Groupe],tblEtudiants[Groupe]&lt;&gt;""))),ROWS(_xlpm.g))))</f>
        <v>0</v>
      </c>
      <c r="E19" s="30">
        <f>IF($B19="","",IF(COUNTIF(tblExposes[Code matière],$B19)=0,"—",COUNTIFS(tblExposes[Code matière],$B19,tblExposes[Statut],"Présenté")))</f>
        <v>0</v>
      </c>
      <c r="F19" s="30" cm="1">
        <f t="array" ref="F19">IF($B19="","",IF(COUNTIF(tblExposes[Code matière],$B19)=0,"—",_xlfn.LET(_xlpm.g,IF(COUNTIF(tblGroupes[Code matière],$B19)&gt;0,_xlfn.UNIQUE(_xlfn._xlws.FILTER(tblGroupes[Groupe],tblGroupes[Code matière]=$B19)),_xlfn.UNIQUE(_xlfn._xlws.FILTER(tblEtudiants[Groupe],tblEtudiants[Groupe]&lt;&gt;""))),_xlpm.p,_xlfn._xlws.FILTER(tblExposes[Groupe],(tblExposes[Code matière]=$B19)*(tblExposes[Statut]="Présenté"),""),SUM(--ISNA(MATCH(_xlpm.g,_xlpm.p,0))))))</f>
        <v>0</v>
      </c>
      <c r="G19" s="105" cm="1">
        <f t="array" ref="G19">IF($B19="","",IF(COUNTIF(tblExposes[Code matière],$B19)=0,"Aucun exposé programmé",_xlfn.LET(_xlpm.p,_xlfn.UNIQUE(_xlfn._xlws.FILTER(tblExposes[Groupe],(tblExposes[Code matière]=$B19)*(tblExposes[Statut]="Présenté"),"")),_xlpm.t,_xlfn.TEXTJOIN(", ",TRUE,_xlfn.SORTBY(_xlpm.p,LEN(_xlpm.p),1,_xlpm.p,1)),IF(_xlpm.t="","Aucun pour l'instant",_xlpm.t))))</f>
        <v>0</v>
      </c>
      <c r="H19" s="105"/>
      <c r="I19" s="105" cm="1">
        <f t="array" ref="I19">IF($B19="","",IF(COUNTIF(tblExposes[Code matière],$B19)=0,"",_xlfn.LET(_xlpm.g,IF(COUNTIF(tblGroupes[Code matière],$B19)&gt;0,_xlfn.UNIQUE(_xlfn._xlws.FILTER(tblGroupes[Groupe],tblGroupes[Code matière]=$B19)),_xlfn.UNIQUE(_xlfn._xlws.FILTER(tblEtudiants[Groupe],tblEtudiants[Groupe]&lt;&gt;""))),_xlpm.p,_xlfn._xlws.FILTER(tblExposes[Groupe],(tblExposes[Code matière]=$B19)*(tblExposes[Statut]="Présenté"),""),_xlpm.r,_xlfn._xlws.FILTER(_xlpm.g,ISNA(MATCH(_xlpm.g,_xlpm.p,0)),""),_xlpm.t,_xlfn.TEXTJOIN(",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9" s="105"/>
      <c r="K19" s="105"/>
    </row>
    <row r="20" spans="2:11">
      <c r="B20" s="28">
        <f>IFERROR(INDEX(tblMatieres[Code],13),"")</f>
        <v>0</v>
      </c>
      <c r="C20" s="104">
        <f>IF($B20="","",INDEX(tblMatieres[Intitulé],13))</f>
        <v>0</v>
      </c>
      <c r="D20" s="27" cm="1">
        <f t="array" ref="D20">IF($B20="","",IF(COUNTIF(tblExposes[Code matière],$B20)=0,"—",_xlfn.LET(_xlpm.g,IF(COUNTIF(tblGroupes[Code matière],$B20)&gt;0,_xlfn.UNIQUE(_xlfn._xlws.FILTER(tblGroupes[Groupe],tblGroupes[Code matière]=$B20)),_xlfn.UNIQUE(_xlfn._xlws.FILTER(tblEtudiants[Groupe],tblEtudiants[Groupe]&lt;&gt;""))),ROWS(_xlpm.g))))</f>
        <v>0</v>
      </c>
      <c r="E20" s="27">
        <f>IF($B20="","",IF(COUNTIF(tblExposes[Code matière],$B20)=0,"—",COUNTIFS(tblExposes[Code matière],$B20,tblExposes[Statut],"Présenté")))</f>
        <v>0</v>
      </c>
      <c r="F20" s="27" cm="1">
        <f t="array" ref="F20">IF($B20="","",IF(COUNTIF(tblExposes[Code matière],$B20)=0,"—",_xlfn.LET(_xlpm.g,IF(COUNTIF(tblGroupes[Code matière],$B20)&gt;0,_xlfn.UNIQUE(_xlfn._xlws.FILTER(tblGroupes[Groupe],tblGroupes[Code matière]=$B20)),_xlfn.UNIQUE(_xlfn._xlws.FILTER(tblEtudiants[Groupe],tblEtudiants[Groupe]&lt;&gt;""))),_xlpm.p,_xlfn._xlws.FILTER(tblExposes[Groupe],(tblExposes[Code matière]=$B20)*(tblExposes[Statut]="Présenté"),""),SUM(--ISNA(MATCH(_xlpm.g,_xlpm.p,0))))))</f>
        <v>0</v>
      </c>
      <c r="G20" s="104" cm="1">
        <f t="array" ref="G20">IF($B20="","",IF(COUNTIF(tblExposes[Code matière],$B20)=0,"Aucun exposé programmé",_xlfn.LET(_xlpm.p,_xlfn.UNIQUE(_xlfn._xlws.FILTER(tblExposes[Groupe],(tblExposes[Code matière]=$B20)*(tblExposes[Statut]="Présenté"),"")),_xlpm.t,_xlfn.TEXTJOIN(", ",TRUE,_xlfn.SORTBY(_xlpm.p,LEN(_xlpm.p),1,_xlpm.p,1)),IF(_xlpm.t="","Aucun pour l'instant",_xlpm.t))))</f>
        <v>0</v>
      </c>
      <c r="H20" s="104"/>
      <c r="I20" s="104" cm="1">
        <f t="array" ref="I20">IF($B20="","",IF(COUNTIF(tblExposes[Code matière],$B20)=0,"",_xlfn.LET(_xlpm.g,IF(COUNTIF(tblGroupes[Code matière],$B20)&gt;0,_xlfn.UNIQUE(_xlfn._xlws.FILTER(tblGroupes[Groupe],tblGroupes[Code matière]=$B20)),_xlfn.UNIQUE(_xlfn._xlws.FILTER(tblEtudiants[Groupe],tblEtudiants[Groupe]&lt;&gt;""))),_xlpm.p,_xlfn._xlws.FILTER(tblExposes[Groupe],(tblExposes[Code matière]=$B20)*(tblExposes[Statut]="Présenté"),""),_xlpm.r,_xlfn._xlws.FILTER(_xlpm.g,ISNA(MATCH(_xlpm.g,_xlpm.p,0)),""),_xlpm.t,_xlfn.TEXTJOIN(",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0" s="104"/>
      <c r="K20" s="104"/>
    </row>
    <row r="21" spans="2:11">
      <c r="B21" s="31">
        <f>IFERROR(INDEX(tblMatieres[Code],14),"")</f>
        <v>0</v>
      </c>
      <c r="C21" s="105">
        <f>IF($B21="","",INDEX(tblMatieres[Intitulé],14))</f>
        <v>0</v>
      </c>
      <c r="D21" s="30" cm="1">
        <f t="array" ref="D21">IF($B21="","",IF(COUNTIF(tblExposes[Code matière],$B21)=0,"—",_xlfn.LET(_xlpm.g,IF(COUNTIF(tblGroupes[Code matière],$B21)&gt;0,_xlfn.UNIQUE(_xlfn._xlws.FILTER(tblGroupes[Groupe],tblGroupes[Code matière]=$B21)),_xlfn.UNIQUE(_xlfn._xlws.FILTER(tblEtudiants[Groupe],tblEtudiants[Groupe]&lt;&gt;""))),ROWS(_xlpm.g))))</f>
        <v>0</v>
      </c>
      <c r="E21" s="30">
        <f>IF($B21="","",IF(COUNTIF(tblExposes[Code matière],$B21)=0,"—",COUNTIFS(tblExposes[Code matière],$B21,tblExposes[Statut],"Présenté")))</f>
        <v>0</v>
      </c>
      <c r="F21" s="30" cm="1">
        <f t="array" ref="F21">IF($B21="","",IF(COUNTIF(tblExposes[Code matière],$B21)=0,"—",_xlfn.LET(_xlpm.g,IF(COUNTIF(tblGroupes[Code matière],$B21)&gt;0,_xlfn.UNIQUE(_xlfn._xlws.FILTER(tblGroupes[Groupe],tblGroupes[Code matière]=$B21)),_xlfn.UNIQUE(_xlfn._xlws.FILTER(tblEtudiants[Groupe],tblEtudiants[Groupe]&lt;&gt;""))),_xlpm.p,_xlfn._xlws.FILTER(tblExposes[Groupe],(tblExposes[Code matière]=$B21)*(tblExposes[Statut]="Présenté"),""),SUM(--ISNA(MATCH(_xlpm.g,_xlpm.p,0))))))</f>
        <v>0</v>
      </c>
      <c r="G21" s="105" cm="1">
        <f t="array" ref="G21">IF($B21="","",IF(COUNTIF(tblExposes[Code matière],$B21)=0,"Aucun exposé programmé",_xlfn.LET(_xlpm.p,_xlfn.UNIQUE(_xlfn._xlws.FILTER(tblExposes[Groupe],(tblExposes[Code matière]=$B21)*(tblExposes[Statut]="Présenté"),"")),_xlpm.t,_xlfn.TEXTJOIN(", ",TRUE,_xlfn.SORTBY(_xlpm.p,LEN(_xlpm.p),1,_xlpm.p,1)),IF(_xlpm.t="","Aucun pour l'instant",_xlpm.t))))</f>
        <v>0</v>
      </c>
      <c r="H21" s="105"/>
      <c r="I21" s="105" cm="1">
        <f t="array" ref="I21">IF($B21="","",IF(COUNTIF(tblExposes[Code matière],$B21)=0,"",_xlfn.LET(_xlpm.g,IF(COUNTIF(tblGroupes[Code matière],$B21)&gt;0,_xlfn.UNIQUE(_xlfn._xlws.FILTER(tblGroupes[Groupe],tblGroupes[Code matière]=$B21)),_xlfn.UNIQUE(_xlfn._xlws.FILTER(tblEtudiants[Groupe],tblEtudiants[Groupe]&lt;&gt;""))),_xlpm.p,_xlfn._xlws.FILTER(tblExposes[Groupe],(tblExposes[Code matière]=$B21)*(tblExposes[Statut]="Présenté"),""),_xlpm.r,_xlfn._xlws.FILTER(_xlpm.g,ISNA(MATCH(_xlpm.g,_xlpm.p,0)),""),_xlpm.t,_xlfn.TEXTJOIN(",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1" s="105"/>
      <c r="K21" s="105"/>
    </row>
    <row r="22" spans="2:11">
      <c r="B22" s="28">
        <f>IFERROR(INDEX(tblMatieres[Code],15),"")</f>
        <v>0</v>
      </c>
      <c r="C22" s="104">
        <f>IF($B22="","",INDEX(tblMatieres[Intitulé],15))</f>
        <v>0</v>
      </c>
      <c r="D22" s="27" cm="1">
        <f t="array" ref="D22">IF($B22="","",IF(COUNTIF(tblExposes[Code matière],$B22)=0,"—",_xlfn.LET(_xlpm.g,IF(COUNTIF(tblGroupes[Code matière],$B22)&gt;0,_xlfn.UNIQUE(_xlfn._xlws.FILTER(tblGroupes[Groupe],tblGroupes[Code matière]=$B22)),_xlfn.UNIQUE(_xlfn._xlws.FILTER(tblEtudiants[Groupe],tblEtudiants[Groupe]&lt;&gt;""))),ROWS(_xlpm.g))))</f>
        <v>0</v>
      </c>
      <c r="E22" s="27">
        <f>IF($B22="","",IF(COUNTIF(tblExposes[Code matière],$B22)=0,"—",COUNTIFS(tblExposes[Code matière],$B22,tblExposes[Statut],"Présenté")))</f>
        <v>0</v>
      </c>
      <c r="F22" s="27" cm="1">
        <f t="array" ref="F22">IF($B22="","",IF(COUNTIF(tblExposes[Code matière],$B22)=0,"—",_xlfn.LET(_xlpm.g,IF(COUNTIF(tblGroupes[Code matière],$B22)&gt;0,_xlfn.UNIQUE(_xlfn._xlws.FILTER(tblGroupes[Groupe],tblGroupes[Code matière]=$B22)),_xlfn.UNIQUE(_xlfn._xlws.FILTER(tblEtudiants[Groupe],tblEtudiants[Groupe]&lt;&gt;""))),_xlpm.p,_xlfn._xlws.FILTER(tblExposes[Groupe],(tblExposes[Code matière]=$B22)*(tblExposes[Statut]="Présenté"),""),SUM(--ISNA(MATCH(_xlpm.g,_xlpm.p,0))))))</f>
        <v>0</v>
      </c>
      <c r="G22" s="104" cm="1">
        <f t="array" ref="G22">IF($B22="","",IF(COUNTIF(tblExposes[Code matière],$B22)=0,"Aucun exposé programmé",_xlfn.LET(_xlpm.p,_xlfn.UNIQUE(_xlfn._xlws.FILTER(tblExposes[Groupe],(tblExposes[Code matière]=$B22)*(tblExposes[Statut]="Présenté"),"")),_xlpm.t,_xlfn.TEXTJOIN(", ",TRUE,_xlfn.SORTBY(_xlpm.p,LEN(_xlpm.p),1,_xlpm.p,1)),IF(_xlpm.t="","Aucun pour l'instant",_xlpm.t))))</f>
        <v>0</v>
      </c>
      <c r="H22" s="104"/>
      <c r="I22" s="104" cm="1">
        <f t="array" ref="I22">IF($B22="","",IF(COUNTIF(tblExposes[Code matière],$B22)=0,"",_xlfn.LET(_xlpm.g,IF(COUNTIF(tblGroupes[Code matière],$B22)&gt;0,_xlfn.UNIQUE(_xlfn._xlws.FILTER(tblGroupes[Groupe],tblGroupes[Code matière]=$B22)),_xlfn.UNIQUE(_xlfn._xlws.FILTER(tblEtudiants[Groupe],tblEtudiants[Groupe]&lt;&gt;""))),_xlpm.p,_xlfn._xlws.FILTER(tblExposes[Groupe],(tblExposes[Code matière]=$B22)*(tblExposes[Statut]="Présenté"),""),_xlpm.r,_xlfn._xlws.FILTER(_xlpm.g,ISNA(MATCH(_xlpm.g,_xlpm.p,0)),""),_xlpm.t,_xlfn.TEXTJOIN(",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2" s="104"/>
      <c r="K22" s="104"/>
    </row>
    <row r="24" spans="2:11">
      <c r="B24" s="8" t="s">
        <v>133</v>
      </c>
      <c r="C24" s="8"/>
      <c r="D24" s="8"/>
      <c r="E24" s="8"/>
      <c r="F24" s="8"/>
      <c r="G24" s="8"/>
      <c r="H24" s="8"/>
      <c r="I24" s="8"/>
      <c r="J24" s="8"/>
      <c r="K24" s="8"/>
    </row>
    <row r="25" spans="2:11" ht="30" customHeight="1">
      <c r="B25" t="s">
        <v>114</v>
      </c>
      <c r="C25" t="s">
        <v>14</v>
      </c>
      <c r="D25" t="s">
        <v>103</v>
      </c>
      <c r="E25" t="s">
        <v>134</v>
      </c>
      <c r="F25" t="s">
        <v>135</v>
      </c>
      <c r="G25" t="s">
        <v>136</v>
      </c>
      <c r="H25" t="s">
        <v>104</v>
      </c>
      <c r="I25" t="s">
        <v>137</v>
      </c>
      <c r="J25" t="s">
        <v>106</v>
      </c>
      <c r="K25" t="s">
        <v>138</v>
      </c>
    </row>
    <row r="26" spans="2:11">
      <c r="C26" s="100">
        <f>IF(tblExposes[[#This Row],[Code matière]]="","",IFERROR(INDEX(tblMatieres[Abrégé],MATCH(tblExposes[[#This Row],[Code matière]],tblMatieres[Code],0)),"?"))</f>
        <v>0</v>
      </c>
    </row>
  </sheetData>
  <sheetProtection password="D4C7" sheet="1" objects="1" scenarios="1" formatColumns="0" formatRows="0" autoFilter="0"/>
  <mergeCells count="36">
    <mergeCell ref="B2:K2"/>
    <mergeCell ref="B3:K3"/>
    <mergeCell ref="B6:K6"/>
    <mergeCell ref="G7:H7"/>
    <mergeCell ref="I7:K7"/>
    <mergeCell ref="G8:H8"/>
    <mergeCell ref="I8:K8"/>
    <mergeCell ref="G9:H9"/>
    <mergeCell ref="I9:K9"/>
    <mergeCell ref="G10:H10"/>
    <mergeCell ref="I10:K10"/>
    <mergeCell ref="G11:H11"/>
    <mergeCell ref="I11:K11"/>
    <mergeCell ref="G12:H12"/>
    <mergeCell ref="I12:K12"/>
    <mergeCell ref="G13:H13"/>
    <mergeCell ref="I13:K13"/>
    <mergeCell ref="G14:H14"/>
    <mergeCell ref="I14:K14"/>
    <mergeCell ref="G15:H15"/>
    <mergeCell ref="I15:K15"/>
    <mergeCell ref="G16:H16"/>
    <mergeCell ref="I16:K16"/>
    <mergeCell ref="G17:H17"/>
    <mergeCell ref="I17:K17"/>
    <mergeCell ref="G18:H18"/>
    <mergeCell ref="I18:K18"/>
    <mergeCell ref="G19:H19"/>
    <mergeCell ref="I19:K19"/>
    <mergeCell ref="G20:H20"/>
    <mergeCell ref="I20:K20"/>
    <mergeCell ref="G21:H21"/>
    <mergeCell ref="I21:K21"/>
    <mergeCell ref="G22:H22"/>
    <mergeCell ref="I22:K22"/>
    <mergeCell ref="B24:K24"/>
  </mergeCells>
  <conditionalFormatting sqref="F8:F22">
    <cfRule type="cellIs" dxfId="3" priority="1" operator="greaterThan">
      <formula>0</formula>
    </cfRule>
  </conditionalFormatting>
  <conditionalFormatting sqref="H26:H3000">
    <cfRule type="cellIs" dxfId="7" priority="3" operator="equal">
      <formula>"Présenté"</formula>
    </cfRule>
    <cfRule type="cellIs" dxfId="9" priority="4" operator="equal">
      <formula>"Reporté"</formula>
    </cfRule>
    <cfRule type="cellIs" dxfId="10" priority="5" operator="equal">
      <formula>"Annulé"</formula>
    </cfRule>
    <cfRule type="cellIs" dxfId="27" priority="6" operator="equal">
      <formula>"À venir"</formula>
    </cfRule>
  </conditionalFormatting>
  <conditionalFormatting sqref="I8:I22">
    <cfRule type="expression" dxfId="1" priority="2">
      <formula>LEFT($I8,1)="✔"</formula>
    </cfRule>
  </conditionalFormatting>
  <dataValidations count="4">
    <dataValidation type="list" allowBlank="1" showInputMessage="1" showErrorMessage="1" sqref="C4">
      <formula1>LstMatieres</formula1>
    </dataValidation>
    <dataValidation type="list" allowBlank="1" showInputMessage="1" showErrorMessage="1" sqref="B26:B3000">
      <formula1>LstMatieres</formula1>
    </dataValidation>
    <dataValidation type="list" allowBlank="1" showInputMessage="1" showErrorMessage="1" sqref="D26:D3000">
      <formula1>LstGroupes</formula1>
    </dataValidation>
    <dataValidation type="list" allowBlank="1" showInputMessage="1" showErrorMessage="1" sqref="H26:H3000">
      <formula1>LstStatutExpose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apports">
    <tabColor rgb="FFED7D31"/>
  </sheetPr>
  <dimension ref="A1:P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7.7109375" customWidth="1"/>
    <col min="3" max="3" width="12.7109375" customWidth="1"/>
    <col min="4" max="4" width="18.7109375" customWidth="1"/>
    <col min="5" max="5" width="36.7109375" customWidth="1"/>
    <col min="6" max="8" width="11.7109375" customWidth="1"/>
    <col min="9" max="10" width="9.7109375" customWidth="1"/>
    <col min="11" max="12" width="8.7109375" customWidth="1"/>
    <col min="13" max="15" width="9.7109375" customWidth="1"/>
    <col min="16" max="16" width="12.7109375" customWidth="1"/>
  </cols>
  <sheetData>
    <row r="1" spans="2:16" ht="8" customHeight="1" x14ac:dyDescent="0.25">
      <c r="B1" s="1" t="s">
        <v>1</v>
      </c>
      <c r="C1" s="1" t="s">
        <v>2</v>
      </c>
    </row>
    <row r="2" spans="2:16" ht="34" customHeight="1" x14ac:dyDescent="0.25">
      <c r="B2" s="2" t="s">
        <v>139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 x14ac:dyDescent="0.25">
      <c r="B3" s="4" t="s">
        <v>140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2:16" ht="30" customHeight="1" x14ac:dyDescent="0.25"/>
    <row r="6" spans="2:16" ht="30" customHeight="1" x14ac:dyDescent="0.25">
      <c r="B6" t="s">
        <v>109</v>
      </c>
      <c r="C6" t="s">
        <v>114</v>
      </c>
      <c r="D6" t="s">
        <v>14</v>
      </c>
      <c r="E6" t="s">
        <v>141</v>
      </c>
      <c r="F6" t="s">
        <v>142</v>
      </c>
      <c r="G6" t="s">
        <v>143</v>
      </c>
      <c r="H6" t="s">
        <v>144</v>
      </c>
      <c r="I6" t="s">
        <v>145</v>
      </c>
      <c r="J6" t="s">
        <v>146</v>
      </c>
      <c r="K6" t="s">
        <v>147</v>
      </c>
      <c r="L6" t="s">
        <v>148</v>
      </c>
      <c r="M6" t="s">
        <v>149</v>
      </c>
      <c r="N6" t="s">
        <v>150</v>
      </c>
      <c r="O6" t="s">
        <v>151</v>
      </c>
      <c r="P6" t="s">
        <v>152</v>
      </c>
    </row>
    <row r="7" spans="2:16" x14ac:dyDescent="0.25">
      <c r="D7" s="100">
        <f>IF(tblRapports[[#This Row],[Code matière]]="","",IFERROR(INDEX(tblMatieres[Abrégé],MATCH(tblRapports[[#This Row],[Code matière]],tblMatieres[Code],0)),"?"))</f>
        <v>0</v>
      </c>
      <c r="J7" s="101">
        <f>IF(tblRapports[[#This Row],[ID]]="","",COUNTIFS(tblRemises[ID rapport],tblRapports[[#This Row],[ID]]))</f>
        <v>0</v>
      </c>
      <c r="K7" s="101">
        <f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f>
        <v>0</v>
      </c>
      <c r="L7" s="101">
        <f>IF(tblRapports[[#This Row],[ID]]="","",COUNTIFS(tblRemises[ID rapport],tblRapports[[#This Row],[ID]],tblRemises[Statut],"À temps"))</f>
        <v>0</v>
      </c>
      <c r="M7" s="101">
        <f>IF(tblRapports[[#This Row],[ID]]="","",COUNTIFS(tblRemises[ID rapport],tblRapports[[#This Row],[ID]],tblRemises[Statut],"En retard"))</f>
        <v>0</v>
      </c>
      <c r="N7" s="101">
        <f>IF(tblRapports[[#This Row],[ID]]="","",COUNTIFS(tblRemises[ID rapport],tblRapports[[#This Row],[ID]],tblRemises[Statut],"Non remis"))</f>
        <v>0</v>
      </c>
      <c r="O7" s="101">
        <f>IF(tblRapports[[#This Row],[ID]]="","",COUNTIFS(tblRemises[ID rapport],tblRapports[[#This Row],[ID]],tblRemises[Statut],"En attente"))</f>
        <v>0</v>
      </c>
      <c r="P7" s="102">
        <f>IF(tblRapports[[#This Row],[ID]]="","",IFERROR(tblRapports[[#This Row],[Remis]]/tblRapports[[#This Row],[Attendus]],""))</f>
        <v>0</v>
      </c>
    </row>
  </sheetData>
  <sheetProtection password="D4C7" sheet="1" objects="1" scenarios="1" formatColumns="0" formatRows="0" autoFilter="0"/>
  <mergeCells count="2">
    <mergeCell ref="B2:P2"/>
    <mergeCell ref="B3:P3"/>
  </mergeCells>
  <conditionalFormatting sqref="N7:N3000">
    <cfRule type="cellIs" dxfId="8" priority="1" operator="greaterThan">
      <formula>0</formula>
    </cfRule>
  </conditionalFormatting>
  <conditionalFormatting sqref="P7:P3000">
    <cfRule type="dataBar" priority="2">
      <dataBar>
        <cfvo type="num" val="0"/>
        <cfvo type="num" val="1"/>
        <color rgb="FFA9D08E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dataValidations count="2">
    <dataValidation type="list" allowBlank="1" showInputMessage="1" showErrorMessage="1" sqref="C7:C3000">
      <formula1>LstMatieres</formula1>
    </dataValidation>
    <dataValidation type="list" allowBlank="1" showInputMessage="1" showErrorMessage="1" sqref="F7:F3000">
      <formula1>LstTypeRapport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A9D08E"/>
              <x14:negativeFillColor rgb="FFFF0000"/>
              <x14:negativeBorderColor rgb="FFFF0000"/>
              <x14:axisColor rgb="FF000000"/>
            </x14:dataBar>
          </x14:cfRule>
          <xm:sqref>P7:P3000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Remises">
    <tabColor rgb="FFED7D31"/>
  </sheetPr>
  <dimension ref="A1:L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10.7109375" customWidth="1"/>
    <col min="3" max="3" width="12.7109375" customWidth="1"/>
    <col min="4" max="4" width="32.7109375" customWidth="1"/>
    <col min="5" max="5" width="10.7109375" customWidth="1"/>
    <col min="6" max="6" width="30.7109375" customWidth="1"/>
    <col min="7" max="7" width="15.7109375" customWidth="1"/>
    <col min="8" max="8" width="11.7109375" customWidth="1"/>
    <col min="9" max="9" width="9.7109375" customWidth="1"/>
    <col min="10" max="10" width="11.7109375" customWidth="1"/>
    <col min="11" max="11" width="25.7109375" customWidth="1"/>
    <col min="12" max="12" width="22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154</v>
      </c>
      <c r="C3" s="4"/>
      <c r="D3" s="4"/>
      <c r="E3" s="4"/>
      <c r="F3" s="4"/>
      <c r="G3" s="4"/>
      <c r="H3" s="4"/>
      <c r="I3" s="4"/>
      <c r="J3" s="4"/>
      <c r="K3" s="4"/>
      <c r="L3" s="4"/>
    </row>
    <row r="4" spans="2:12" ht="30" customHeight="1"/>
    <row r="6" spans="2:12" ht="30" customHeight="1">
      <c r="B6" t="s">
        <v>155</v>
      </c>
      <c r="C6" t="s">
        <v>114</v>
      </c>
      <c r="D6" t="s">
        <v>141</v>
      </c>
      <c r="E6" t="s">
        <v>142</v>
      </c>
      <c r="F6" t="s">
        <v>156</v>
      </c>
      <c r="G6" t="s">
        <v>157</v>
      </c>
      <c r="H6" t="s">
        <v>158</v>
      </c>
      <c r="I6" t="s">
        <v>159</v>
      </c>
      <c r="J6" t="s">
        <v>104</v>
      </c>
      <c r="K6" t="s">
        <v>106</v>
      </c>
      <c r="L6" t="s">
        <v>138</v>
      </c>
    </row>
    <row r="7" spans="2:12">
      <c r="C7" s="98">
        <f>IF(tblRemises[[#This Row],[ID rapport]]="","",IFERROR(INDEX(tblRapports[Code matière],MATCH(tblRemises[[#This Row],[ID rapport]],tblRapports[ID],0)),""))</f>
        <v>0</v>
      </c>
      <c r="D7" s="100">
        <f>IF(tblRemises[[#This Row],[ID rapport]]="","",IFERROR(INDEX(tblRapports[Intitulé],MATCH(tblRemises[[#This Row],[ID rapport]],tblRapports[ID],0)),""))</f>
        <v>0</v>
      </c>
      <c r="E7" s="98">
        <f>IF(tblRemises[[#This Row],[ID rapport]]="","",IFERROR(INDEX(tblRapports[Type],MATCH(tblRemises[[#This Row],[ID rapport]],tblRapports[ID],0)),""))</f>
        <v>0</v>
      </c>
      <c r="G7" s="106">
        <f>IF(tblRemises[[#This Row],[ID rapport]]="","",IFERROR(INDEX(tblRapports[Date limite],MATCH(tblRemises[[#This Row],[ID rapport]],tblRapports[ID],0)),0)+IFERROR(INDEX(tblRapports[Heure limite],MATCH(tblRemises[[#This Row],[ID rapport]],tblRapports[ID],0)),0))</f>
        <v>0</v>
      </c>
      <c r="J7" s="98">
        <f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f>
        <v>0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J7:J3000">
    <cfRule type="cellIs" dxfId="7" priority="1" operator="equal">
      <formula>"À temps"</formula>
    </cfRule>
    <cfRule type="cellIs" dxfId="7" priority="2" operator="equal">
      <formula>"Remis"</formula>
    </cfRule>
    <cfRule type="cellIs" dxfId="9" priority="3" operator="equal">
      <formula>"En retard"</formula>
    </cfRule>
    <cfRule type="cellIs" dxfId="8" priority="4" operator="equal">
      <formula>"Non remis"</formula>
    </cfRule>
    <cfRule type="cellIs" dxfId="10" priority="5" operator="equal">
      <formula>"En attente"</formula>
    </cfRule>
  </conditionalFormatting>
  <dataValidations count="2">
    <dataValidation type="list" allowBlank="1" showInputMessage="1" showErrorMessage="1" sqref="B7:B3000">
      <formula1>LstRapports</formula1>
    </dataValidation>
    <dataValidation type="list" errorStyle="information" allowBlank="1" showInputMessage="1" showErrorMessage="1" promptTitle="Remis par" prompt="Étudiant (rapport individuel) ou nom du groupe." sqref="F7:F3000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Fiche">
    <tabColor rgb="FF70AD47"/>
    <pageSetUpPr fitToPage="1"/>
  </sheetPr>
  <dimension ref="A1:AI334"/>
  <sheetViews>
    <sheetView showGridLines="0" zoomScale="90" zoomScaleNormal="90" workbookViewId="0">
      <selection activeCell="C5" sqref="C5"/>
    </sheetView>
  </sheetViews>
  <sheetFormatPr defaultRowHeight="15"/>
  <cols>
    <col min="1" max="1" width="2.7109375" customWidth="1"/>
    <col min="2" max="2" width="16.7109375" customWidth="1"/>
    <col min="3" max="3" width="30.7109375" customWidth="1"/>
    <col min="4" max="4" width="10.7109375" customWidth="1"/>
    <col min="5" max="5" width="8.7109375" customWidth="1"/>
    <col min="6" max="9" width="7.7109375" customWidth="1"/>
    <col min="10" max="10" width="9.7109375" customWidth="1"/>
    <col min="11" max="11" width="12.7109375" customWidth="1"/>
    <col min="12" max="12" width="3.7109375" customWidth="1"/>
    <col min="13" max="13" width="12.7109375" customWidth="1"/>
    <col min="14" max="14" width="30.7109375" customWidth="1"/>
    <col min="15" max="15" width="10.7109375" customWidth="1"/>
    <col min="16" max="17" width="8.7109375" customWidth="1"/>
    <col min="18" max="18" width="3.7109375" customWidth="1"/>
    <col min="19" max="19" width="12.7109375" customWidth="1"/>
    <col min="20" max="20" width="28.7109375" customWidth="1"/>
    <col min="21" max="21" width="10.7109375" customWidth="1"/>
    <col min="22" max="22" width="22.7109375" customWidth="1"/>
    <col min="23" max="23" width="15.7109375" customWidth="1"/>
    <col min="24" max="24" width="11.7109375" customWidth="1"/>
    <col min="25" max="25" width="8.7109375" customWidth="1"/>
    <col min="26" max="26" width="11.7109375" customWidth="1"/>
    <col min="27" max="27" width="3.7109375" customWidth="1"/>
    <col min="28" max="28" width="12.7109375" customWidth="1"/>
    <col min="29" max="29" width="18.7109375" customWidth="1"/>
    <col min="30" max="30" width="10.7109375" customWidth="1"/>
    <col min="31" max="31" width="28.7109375" customWidth="1"/>
    <col min="32" max="33" width="11.7109375" customWidth="1"/>
    <col min="34" max="34" width="10.7109375" customWidth="1"/>
    <col min="35" max="35" width="7.7109375" customWidth="1"/>
  </cols>
  <sheetData>
    <row r="1" spans="2:35" ht="8" customHeight="1">
      <c r="B1" s="1" t="s">
        <v>1</v>
      </c>
      <c r="C1" s="1" t="s">
        <v>2</v>
      </c>
    </row>
    <row r="2" spans="2:35" ht="34" customHeight="1">
      <c r="B2" s="2" t="s">
        <v>160</v>
      </c>
      <c r="C2" s="2"/>
      <c r="D2" s="2"/>
      <c r="E2" s="2"/>
      <c r="F2" s="2"/>
      <c r="G2" s="2"/>
      <c r="H2" s="2"/>
      <c r="I2" s="2"/>
      <c r="J2" s="2"/>
      <c r="K2" s="2"/>
    </row>
    <row r="3" spans="2:35" ht="26" customHeight="1">
      <c r="B3" s="4" t="s">
        <v>161</v>
      </c>
      <c r="C3" s="4"/>
      <c r="D3" s="4"/>
      <c r="E3" s="4"/>
      <c r="F3" s="4"/>
      <c r="G3" s="4"/>
      <c r="H3" s="4"/>
      <c r="I3" s="4"/>
      <c r="J3" s="4"/>
      <c r="K3" s="4"/>
    </row>
    <row r="5" spans="2:35">
      <c r="B5" s="64" t="s">
        <v>162</v>
      </c>
      <c r="C5" s="71"/>
      <c r="D5" s="3" t="s">
        <v>163</v>
      </c>
      <c r="E5" s="3"/>
      <c r="F5" s="3"/>
      <c r="G5" s="3"/>
      <c r="H5" s="3"/>
      <c r="I5" s="3"/>
      <c r="J5" s="3"/>
      <c r="M5" s="8" t="s">
        <v>177</v>
      </c>
      <c r="N5" s="8"/>
      <c r="O5" s="8"/>
      <c r="P5" s="8"/>
      <c r="Q5" s="8"/>
      <c r="S5" s="107" t="s">
        <v>178</v>
      </c>
      <c r="T5" s="107"/>
      <c r="U5" s="107"/>
      <c r="V5" s="107"/>
      <c r="W5" s="107"/>
      <c r="X5" s="107"/>
      <c r="Y5" s="107"/>
      <c r="Z5" s="107"/>
      <c r="AB5" s="9" t="s">
        <v>179</v>
      </c>
      <c r="AC5" s="9"/>
      <c r="AD5" s="9"/>
      <c r="AE5" s="9"/>
      <c r="AF5" s="9"/>
      <c r="AG5" s="9"/>
      <c r="AH5" s="9"/>
      <c r="AI5" s="9"/>
    </row>
    <row r="6" spans="2:35">
      <c r="M6" s="103" t="s">
        <v>13</v>
      </c>
      <c r="N6" s="103" t="s">
        <v>14</v>
      </c>
      <c r="O6" s="103" t="s">
        <v>80</v>
      </c>
      <c r="P6" s="103" t="s">
        <v>123</v>
      </c>
      <c r="Q6" s="103" t="s">
        <v>104</v>
      </c>
      <c r="S6" s="103" t="s">
        <v>13</v>
      </c>
      <c r="T6" s="103" t="s">
        <v>141</v>
      </c>
      <c r="U6" s="103" t="s">
        <v>142</v>
      </c>
      <c r="V6" s="103" t="s">
        <v>156</v>
      </c>
      <c r="W6" s="103" t="s">
        <v>157</v>
      </c>
      <c r="X6" s="103" t="s">
        <v>158</v>
      </c>
      <c r="Y6" s="103" t="s">
        <v>123</v>
      </c>
      <c r="Z6" s="103" t="s">
        <v>104</v>
      </c>
      <c r="AB6" s="103" t="s">
        <v>13</v>
      </c>
      <c r="AC6" s="103" t="s">
        <v>14</v>
      </c>
      <c r="AD6" s="103" t="s">
        <v>103</v>
      </c>
      <c r="AE6" s="103" t="s">
        <v>134</v>
      </c>
      <c r="AF6" s="103" t="s">
        <v>135</v>
      </c>
      <c r="AG6" s="103" t="s">
        <v>180</v>
      </c>
      <c r="AH6" s="103" t="s">
        <v>104</v>
      </c>
      <c r="AI6" s="103" t="s">
        <v>181</v>
      </c>
    </row>
    <row r="7" spans="2:35" ht="24" customHeight="1">
      <c r="B7" s="64" t="s">
        <v>122</v>
      </c>
      <c r="C7" s="108"/>
      <c r="M7" cm="1">
        <f t="array" ref="M7">IF($C$7="","",_xlfn._xlws.SORT(_xlfn._xlws.FILTER(tblPresences[[Code matière]:[Statut]],tblPresences[Étudiant]=$C$7,"Aucune séance enregistrée"),3,-1))</f>
        <v>0</v>
      </c>
      <c r="O7" s="109"/>
      <c r="P7" s="110"/>
      <c r="S7" cm="1">
        <f t="array" ref="S7">IF($C$7="","",_xlfn._xlws.FILTER(tblRemises[[Code matière]:[Statut]],ISNUMBER(SEARCH("|"&amp;$C$7&amp;"|",tblRemises[Membres])),"Aucun rapport"))</f>
        <v>0</v>
      </c>
      <c r="W7" s="111"/>
      <c r="X7" s="109"/>
      <c r="Y7" s="110"/>
      <c r="AB7" cm="1">
        <f t="array" ref="AB7">IF($C$7="","",_xlfn._xlws.FILTER(tblExposes[[Code matière]:[Note sur 20]],ISNUMBER(SEARCH("|"&amp;$C$7&amp;"|",tblExposes[Membres])),"Aucun exposé"))</f>
        <v>0</v>
      </c>
      <c r="AF7" s="109"/>
      <c r="AG7" s="109"/>
    </row>
    <row r="8" spans="2:35">
      <c r="O8" s="109"/>
      <c r="P8" s="110"/>
      <c r="W8" s="111"/>
      <c r="X8" s="109"/>
      <c r="Y8" s="110"/>
      <c r="AF8" s="109"/>
      <c r="AG8" s="109"/>
    </row>
    <row r="9" spans="2:35">
      <c r="B9" s="64" t="s">
        <v>164</v>
      </c>
      <c r="C9" s="112" cm="1">
        <f t="array" ref="C9">IF($C$7="","",_xlfn.XLOOKUP($C$7,tblEtudiants[Nom et prénoms],tblEtudiants[Groupe],""))</f>
        <v>0</v>
      </c>
      <c r="D9" s="64" t="s">
        <v>166</v>
      </c>
      <c r="E9" s="112" cm="1">
        <f t="array" ref="E9">IF($C$7="","",_xlfn.XLOOKUP($C$7,tblEtudiants[Nom et prénoms],tblEtudiants[Email],"")&amp;"")</f>
        <v>0</v>
      </c>
      <c r="F9" s="112"/>
      <c r="G9" s="112"/>
      <c r="H9" s="112"/>
      <c r="I9" s="112"/>
      <c r="J9" s="112"/>
      <c r="O9" s="109"/>
      <c r="P9" s="110"/>
      <c r="W9" s="111"/>
      <c r="X9" s="109"/>
      <c r="Y9" s="110"/>
      <c r="AF9" s="109"/>
      <c r="AG9" s="109"/>
    </row>
    <row r="10" spans="2:35">
      <c r="B10" s="64" t="s">
        <v>165</v>
      </c>
      <c r="C10" s="112" cm="1">
        <f t="array" ref="C10">IF($C$7="","",_xlfn.XLOOKUP($C$7,tblEtudiants[Nom et prénoms],tblEtudiants[Rôle],"")&amp;"")</f>
        <v>0</v>
      </c>
      <c r="D10" s="64" t="s">
        <v>167</v>
      </c>
      <c r="E10" s="113" cm="1">
        <f t="array" ref="E10">IF($C$7="","",_xlfn.XLOOKUP($C$7,tblEtudiants[Nom et prénoms],tblEtudiants[Contact],""))</f>
        <v>0</v>
      </c>
      <c r="F10" s="112"/>
      <c r="G10" s="112"/>
      <c r="H10" s="112"/>
      <c r="I10" s="112"/>
      <c r="J10" s="112"/>
      <c r="O10" s="109"/>
      <c r="P10" s="110"/>
      <c r="W10" s="111"/>
      <c r="X10" s="109"/>
      <c r="Y10" s="110"/>
      <c r="AF10" s="109"/>
      <c r="AG10" s="109"/>
    </row>
    <row r="11" spans="2:35">
      <c r="O11" s="109"/>
      <c r="P11" s="110"/>
      <c r="W11" s="111"/>
      <c r="X11" s="109"/>
      <c r="Y11" s="110"/>
      <c r="AF11" s="109"/>
      <c r="AG11" s="109"/>
    </row>
    <row r="12" spans="2:35">
      <c r="B12" s="13" t="s">
        <v>168</v>
      </c>
      <c r="C12" s="15" t="s">
        <v>7</v>
      </c>
      <c r="D12" s="114" t="s">
        <v>169</v>
      </c>
      <c r="E12" s="114"/>
      <c r="F12" s="16" t="s">
        <v>170</v>
      </c>
      <c r="G12" s="16"/>
      <c r="H12" s="115" t="s">
        <v>171</v>
      </c>
      <c r="I12" s="115"/>
      <c r="J12" s="116" t="s">
        <v>172</v>
      </c>
      <c r="O12" s="109"/>
      <c r="P12" s="110"/>
      <c r="W12" s="111"/>
      <c r="X12" s="109"/>
      <c r="Y12" s="110"/>
      <c r="AF12" s="109"/>
      <c r="AG12" s="109"/>
    </row>
    <row r="13" spans="2:35" ht="34" customHeight="1">
      <c r="B13" s="117">
        <f>IF($C$7="","",COUNTIF(tblPresences[Étudiant],$C$7))</f>
        <v>0</v>
      </c>
      <c r="C13" s="118">
        <f>IF($C$7="","",IFERROR((COUNTIFS(tblPresences[Étudiant],$C$7,tblPresences[Statut],"P")+COUNTIFS(tblPresences[Étudiant],$C$7,tblPresences[Statut],"R"))/COUNTIF(tblPresences[Étudiant],$C$7),"—"))</f>
        <v>0</v>
      </c>
      <c r="D13" s="119">
        <f>IF($C$7="","",COUNTIFS(tblPresences[Étudiant],$C$7,tblPresences[Statut],"P"))</f>
        <v>0</v>
      </c>
      <c r="E13" s="119"/>
      <c r="F13" s="120">
        <f>IF($C$7="","",COUNTIFS(tblPresences[Étudiant],$C$7,tblPresences[Statut],"A"))</f>
        <v>0</v>
      </c>
      <c r="G13" s="120"/>
      <c r="H13" s="121">
        <f>IF($C$7="","",COUNTIFS(tblPresences[Étudiant],$C$7,tblPresences[Statut],"R"))</f>
        <v>0</v>
      </c>
      <c r="I13" s="121"/>
      <c r="J13" s="122">
        <f>IF($C$7="","",COUNTIFS(tblPresences[Étudiant],$C$7,tblPresences[Statut],"E"))</f>
        <v>0</v>
      </c>
      <c r="O13" s="109"/>
      <c r="P13" s="110"/>
      <c r="W13" s="111"/>
      <c r="X13" s="109"/>
      <c r="Y13" s="110"/>
      <c r="AF13" s="109"/>
      <c r="AG13" s="109"/>
    </row>
    <row r="14" spans="2:35">
      <c r="O14" s="109"/>
      <c r="P14" s="110"/>
      <c r="W14" s="111"/>
      <c r="X14" s="109"/>
      <c r="Y14" s="110"/>
      <c r="AF14" s="109"/>
      <c r="AG14" s="109"/>
    </row>
    <row r="15" spans="2:35">
      <c r="B15" s="8" t="s">
        <v>173</v>
      </c>
      <c r="C15" s="8"/>
      <c r="D15" s="8"/>
      <c r="E15" s="8"/>
      <c r="F15" s="8"/>
      <c r="G15" s="8"/>
      <c r="H15" s="8"/>
      <c r="I15" s="8"/>
      <c r="J15" s="8"/>
      <c r="K15" s="8"/>
      <c r="O15" s="109"/>
      <c r="P15" s="110"/>
      <c r="W15" s="111"/>
      <c r="X15" s="109"/>
      <c r="Y15" s="110"/>
      <c r="AF15" s="109"/>
      <c r="AG15" s="109"/>
    </row>
    <row r="16" spans="2:35">
      <c r="B16" s="26" t="s">
        <v>13</v>
      </c>
      <c r="C16" s="26" t="s">
        <v>14</v>
      </c>
      <c r="D16" s="26" t="s">
        <v>103</v>
      </c>
      <c r="E16" s="26" t="s">
        <v>174</v>
      </c>
      <c r="F16" s="26" t="s">
        <v>68</v>
      </c>
      <c r="G16" s="26" t="s">
        <v>22</v>
      </c>
      <c r="H16" s="26" t="s">
        <v>71</v>
      </c>
      <c r="I16" s="26" t="s">
        <v>50</v>
      </c>
      <c r="J16" s="26" t="s">
        <v>100</v>
      </c>
      <c r="K16" s="26" t="s">
        <v>175</v>
      </c>
      <c r="O16" s="109"/>
      <c r="P16" s="110"/>
      <c r="W16" s="111"/>
      <c r="X16" s="109"/>
      <c r="Y16" s="110"/>
      <c r="AF16" s="109"/>
      <c r="AG16" s="109"/>
    </row>
    <row r="17" spans="2:33">
      <c r="B17" s="28">
        <f>IFERROR(INDEX(tblMatieres[Code],1),"")</f>
        <v>0</v>
      </c>
      <c r="C17" s="29">
        <f>IF($B17="","",INDEX(tblMatieres[Intitulé],1))</f>
        <v>0</v>
      </c>
      <c r="D17" s="27" cm="1">
        <f t="array" ref="D17">IF(OR($C$7="",$B17=""),"",IF(COUNTIF(tblGroupes[Code matière],$B17)&gt;0,_xlfn.XLOOKUP(1,(tblGroupes[Code matière]=$B17)*(tblGroupes[Étudiant]=$C$7),tblGroupes[Groupe],"—"),_xlfn.XLOOKUP($C$7,tblEtudiants[Nom et prénoms],tblEtudiants[Groupe],"")))</f>
        <v>0</v>
      </c>
      <c r="E17" s="27">
        <f>IF(OR($C$7="",$B17=""),"",COUNTIFS(tblPresences[Étudiant],$C$7,tblPresences[Code matière],$B17))</f>
        <v>0</v>
      </c>
      <c r="F17" s="27">
        <f>IF(OR($C$7="",$B17=""),"",COUNTIFS(tblPresences[Étudiant],$C$7,tblPresences[Code matière],$B17,tblPresences[Statut],"P"))</f>
        <v>0</v>
      </c>
      <c r="G17" s="27">
        <f>IF(OR($C$7="",$B17=""),"",COUNTIFS(tblPresences[Étudiant],$C$7,tblPresences[Code matière],$B17,tblPresences[Statut],"A"))</f>
        <v>0</v>
      </c>
      <c r="H17" s="27">
        <f>IF(OR($C$7="",$B17=""),"",COUNTIFS(tblPresences[Étudiant],$C$7,tblPresences[Code matière],$B17,tblPresences[Statut],"R"))</f>
        <v>0</v>
      </c>
      <c r="I17" s="27">
        <f>IF(OR($C$7="",$B17=""),"",COUNTIFS(tblPresences[Étudiant],$C$7,tblPresences[Code matière],$B17,tblPresences[Statut],"E"))</f>
        <v>0</v>
      </c>
      <c r="J17" s="123">
        <f>IF(OR($C$7="",$B17=""),"",IF(E17=0,"",(F17+H17)/E17))</f>
        <v>0</v>
      </c>
      <c r="K17" s="27">
        <f>IF(OR($C$7="",$B17=""),"",IF(G17&gt;pSeuil,"⚠ ALERTE",IF(G17=pSeuil,"Attention","")))</f>
        <v>0</v>
      </c>
      <c r="O17" s="109"/>
      <c r="P17" s="110"/>
      <c r="W17" s="111"/>
      <c r="X17" s="109"/>
      <c r="Y17" s="110"/>
      <c r="AF17" s="109"/>
      <c r="AG17" s="109"/>
    </row>
    <row r="18" spans="2:33">
      <c r="B18" s="31">
        <f>IFERROR(INDEX(tblMatieres[Code],2),"")</f>
        <v>0</v>
      </c>
      <c r="C18" s="32">
        <f>IF($B18="","",INDEX(tblMatieres[Intitulé],2))</f>
        <v>0</v>
      </c>
      <c r="D18" s="30" cm="1">
        <f t="array" ref="D18">IF(OR($C$7="",$B18=""),"",IF(COUNTIF(tblGroupes[Code matière],$B18)&gt;0,_xlfn.XLOOKUP(1,(tblGroupes[Code matière]=$B18)*(tblGroupes[Étudiant]=$C$7),tblGroupes[Groupe],"—"),_xlfn.XLOOKUP($C$7,tblEtudiants[Nom et prénoms],tblEtudiants[Groupe],"")))</f>
        <v>0</v>
      </c>
      <c r="E18" s="30">
        <f>IF(OR($C$7="",$B18=""),"",COUNTIFS(tblPresences[Étudiant],$C$7,tblPresences[Code matière],$B18))</f>
        <v>0</v>
      </c>
      <c r="F18" s="30">
        <f>IF(OR($C$7="",$B18=""),"",COUNTIFS(tblPresences[Étudiant],$C$7,tblPresences[Code matière],$B18,tblPresences[Statut],"P"))</f>
        <v>0</v>
      </c>
      <c r="G18" s="30">
        <f>IF(OR($C$7="",$B18=""),"",COUNTIFS(tblPresences[Étudiant],$C$7,tblPresences[Code matière],$B18,tblPresences[Statut],"A"))</f>
        <v>0</v>
      </c>
      <c r="H18" s="30">
        <f>IF(OR($C$7="",$B18=""),"",COUNTIFS(tblPresences[Étudiant],$C$7,tblPresences[Code matière],$B18,tblPresences[Statut],"R"))</f>
        <v>0</v>
      </c>
      <c r="I18" s="30">
        <f>IF(OR($C$7="",$B18=""),"",COUNTIFS(tblPresences[Étudiant],$C$7,tblPresences[Code matière],$B18,tblPresences[Statut],"E"))</f>
        <v>0</v>
      </c>
      <c r="J18" s="124">
        <f>IF(OR($C$7="",$B18=""),"",IF(E18=0,"",(F18+H18)/E18))</f>
        <v>0</v>
      </c>
      <c r="K18" s="30">
        <f>IF(OR($C$7="",$B18=""),"",IF(G18&gt;pSeuil,"⚠ ALERTE",IF(G18=pSeuil,"Attention","")))</f>
        <v>0</v>
      </c>
      <c r="O18" s="109"/>
      <c r="P18" s="110"/>
      <c r="W18" s="111"/>
      <c r="X18" s="109"/>
      <c r="Y18" s="110"/>
      <c r="AF18" s="109"/>
      <c r="AG18" s="109"/>
    </row>
    <row r="19" spans="2:33">
      <c r="B19" s="28">
        <f>IFERROR(INDEX(tblMatieres[Code],3),"")</f>
        <v>0</v>
      </c>
      <c r="C19" s="29">
        <f>IF($B19="","",INDEX(tblMatieres[Intitulé],3))</f>
        <v>0</v>
      </c>
      <c r="D19" s="27" cm="1">
        <f t="array" ref="D19">IF(OR($C$7="",$B19=""),"",IF(COUNTIF(tblGroupes[Code matière],$B19)&gt;0,_xlfn.XLOOKUP(1,(tblGroupes[Code matière]=$B19)*(tblGroupes[Étudiant]=$C$7),tblGroupes[Groupe],"—"),_xlfn.XLOOKUP($C$7,tblEtudiants[Nom et prénoms],tblEtudiants[Groupe],"")))</f>
        <v>0</v>
      </c>
      <c r="E19" s="27">
        <f>IF(OR($C$7="",$B19=""),"",COUNTIFS(tblPresences[Étudiant],$C$7,tblPresences[Code matière],$B19))</f>
        <v>0</v>
      </c>
      <c r="F19" s="27">
        <f>IF(OR($C$7="",$B19=""),"",COUNTIFS(tblPresences[Étudiant],$C$7,tblPresences[Code matière],$B19,tblPresences[Statut],"P"))</f>
        <v>0</v>
      </c>
      <c r="G19" s="27">
        <f>IF(OR($C$7="",$B19=""),"",COUNTIFS(tblPresences[Étudiant],$C$7,tblPresences[Code matière],$B19,tblPresences[Statut],"A"))</f>
        <v>0</v>
      </c>
      <c r="H19" s="27">
        <f>IF(OR($C$7="",$B19=""),"",COUNTIFS(tblPresences[Étudiant],$C$7,tblPresences[Code matière],$B19,tblPresences[Statut],"R"))</f>
        <v>0</v>
      </c>
      <c r="I19" s="27">
        <f>IF(OR($C$7="",$B19=""),"",COUNTIFS(tblPresences[Étudiant],$C$7,tblPresences[Code matière],$B19,tblPresences[Statut],"E"))</f>
        <v>0</v>
      </c>
      <c r="J19" s="123">
        <f>IF(OR($C$7="",$B19=""),"",IF(E19=0,"",(F19+H19)/E19))</f>
        <v>0</v>
      </c>
      <c r="K19" s="27">
        <f>IF(OR($C$7="",$B19=""),"",IF(G19&gt;pSeuil,"⚠ ALERTE",IF(G19=pSeuil,"Attention","")))</f>
        <v>0</v>
      </c>
      <c r="O19" s="109"/>
      <c r="P19" s="110"/>
      <c r="W19" s="111"/>
      <c r="X19" s="109"/>
      <c r="Y19" s="110"/>
      <c r="AF19" s="109"/>
      <c r="AG19" s="109"/>
    </row>
    <row r="20" spans="2:33">
      <c r="B20" s="31">
        <f>IFERROR(INDEX(tblMatieres[Code],4),"")</f>
        <v>0</v>
      </c>
      <c r="C20" s="32">
        <f>IF($B20="","",INDEX(tblMatieres[Intitulé],4))</f>
        <v>0</v>
      </c>
      <c r="D20" s="30" cm="1">
        <f t="array" ref="D20">IF(OR($C$7="",$B20=""),"",IF(COUNTIF(tblGroupes[Code matière],$B20)&gt;0,_xlfn.XLOOKUP(1,(tblGroupes[Code matière]=$B20)*(tblGroupes[Étudiant]=$C$7),tblGroupes[Groupe],"—"),_xlfn.XLOOKUP($C$7,tblEtudiants[Nom et prénoms],tblEtudiants[Groupe],"")))</f>
        <v>0</v>
      </c>
      <c r="E20" s="30">
        <f>IF(OR($C$7="",$B20=""),"",COUNTIFS(tblPresences[Étudiant],$C$7,tblPresences[Code matière],$B20))</f>
        <v>0</v>
      </c>
      <c r="F20" s="30">
        <f>IF(OR($C$7="",$B20=""),"",COUNTIFS(tblPresences[Étudiant],$C$7,tblPresences[Code matière],$B20,tblPresences[Statut],"P"))</f>
        <v>0</v>
      </c>
      <c r="G20" s="30">
        <f>IF(OR($C$7="",$B20=""),"",COUNTIFS(tblPresences[Étudiant],$C$7,tblPresences[Code matière],$B20,tblPresences[Statut],"A"))</f>
        <v>0</v>
      </c>
      <c r="H20" s="30">
        <f>IF(OR($C$7="",$B20=""),"",COUNTIFS(tblPresences[Étudiant],$C$7,tblPresences[Code matière],$B20,tblPresences[Statut],"R"))</f>
        <v>0</v>
      </c>
      <c r="I20" s="30">
        <f>IF(OR($C$7="",$B20=""),"",COUNTIFS(tblPresences[Étudiant],$C$7,tblPresences[Code matière],$B20,tblPresences[Statut],"E"))</f>
        <v>0</v>
      </c>
      <c r="J20" s="124">
        <f>IF(OR($C$7="",$B20=""),"",IF(E20=0,"",(F20+H20)/E20))</f>
        <v>0</v>
      </c>
      <c r="K20" s="30">
        <f>IF(OR($C$7="",$B20=""),"",IF(G20&gt;pSeuil,"⚠ ALERTE",IF(G20=pSeuil,"Attention","")))</f>
        <v>0</v>
      </c>
      <c r="O20" s="109"/>
      <c r="P20" s="110"/>
      <c r="W20" s="111"/>
      <c r="X20" s="109"/>
      <c r="Y20" s="110"/>
      <c r="AF20" s="109"/>
      <c r="AG20" s="109"/>
    </row>
    <row r="21" spans="2:33">
      <c r="B21" s="28">
        <f>IFERROR(INDEX(tblMatieres[Code],5),"")</f>
        <v>0</v>
      </c>
      <c r="C21" s="29">
        <f>IF($B21="","",INDEX(tblMatieres[Intitulé],5))</f>
        <v>0</v>
      </c>
      <c r="D21" s="27" cm="1">
        <f t="array" ref="D21">IF(OR($C$7="",$B21=""),"",IF(COUNTIF(tblGroupes[Code matière],$B21)&gt;0,_xlfn.XLOOKUP(1,(tblGroupes[Code matière]=$B21)*(tblGroupes[Étudiant]=$C$7),tblGroupes[Groupe],"—"),_xlfn.XLOOKUP($C$7,tblEtudiants[Nom et prénoms],tblEtudiants[Groupe],"")))</f>
        <v>0</v>
      </c>
      <c r="E21" s="27">
        <f>IF(OR($C$7="",$B21=""),"",COUNTIFS(tblPresences[Étudiant],$C$7,tblPresences[Code matière],$B21))</f>
        <v>0</v>
      </c>
      <c r="F21" s="27">
        <f>IF(OR($C$7="",$B21=""),"",COUNTIFS(tblPresences[Étudiant],$C$7,tblPresences[Code matière],$B21,tblPresences[Statut],"P"))</f>
        <v>0</v>
      </c>
      <c r="G21" s="27">
        <f>IF(OR($C$7="",$B21=""),"",COUNTIFS(tblPresences[Étudiant],$C$7,tblPresences[Code matière],$B21,tblPresences[Statut],"A"))</f>
        <v>0</v>
      </c>
      <c r="H21" s="27">
        <f>IF(OR($C$7="",$B21=""),"",COUNTIFS(tblPresences[Étudiant],$C$7,tblPresences[Code matière],$B21,tblPresences[Statut],"R"))</f>
        <v>0</v>
      </c>
      <c r="I21" s="27">
        <f>IF(OR($C$7="",$B21=""),"",COUNTIFS(tblPresences[Étudiant],$C$7,tblPresences[Code matière],$B21,tblPresences[Statut],"E"))</f>
        <v>0</v>
      </c>
      <c r="J21" s="123">
        <f>IF(OR($C$7="",$B21=""),"",IF(E21=0,"",(F21+H21)/E21))</f>
        <v>0</v>
      </c>
      <c r="K21" s="27">
        <f>IF(OR($C$7="",$B21=""),"",IF(G21&gt;pSeuil,"⚠ ALERTE",IF(G21=pSeuil,"Attention","")))</f>
        <v>0</v>
      </c>
      <c r="O21" s="109"/>
      <c r="P21" s="110"/>
      <c r="W21" s="111"/>
      <c r="X21" s="109"/>
      <c r="Y21" s="110"/>
      <c r="AF21" s="109"/>
      <c r="AG21" s="109"/>
    </row>
    <row r="22" spans="2:33">
      <c r="B22" s="31">
        <f>IFERROR(INDEX(tblMatieres[Code],6),"")</f>
        <v>0</v>
      </c>
      <c r="C22" s="32">
        <f>IF($B22="","",INDEX(tblMatieres[Intitulé],6))</f>
        <v>0</v>
      </c>
      <c r="D22" s="30" cm="1">
        <f t="array" ref="D22">IF(OR($C$7="",$B22=""),"",IF(COUNTIF(tblGroupes[Code matière],$B22)&gt;0,_xlfn.XLOOKUP(1,(tblGroupes[Code matière]=$B22)*(tblGroupes[Étudiant]=$C$7),tblGroupes[Groupe],"—"),_xlfn.XLOOKUP($C$7,tblEtudiants[Nom et prénoms],tblEtudiants[Groupe],"")))</f>
        <v>0</v>
      </c>
      <c r="E22" s="30">
        <f>IF(OR($C$7="",$B22=""),"",COUNTIFS(tblPresences[Étudiant],$C$7,tblPresences[Code matière],$B22))</f>
        <v>0</v>
      </c>
      <c r="F22" s="30">
        <f>IF(OR($C$7="",$B22=""),"",COUNTIFS(tblPresences[Étudiant],$C$7,tblPresences[Code matière],$B22,tblPresences[Statut],"P"))</f>
        <v>0</v>
      </c>
      <c r="G22" s="30">
        <f>IF(OR($C$7="",$B22=""),"",COUNTIFS(tblPresences[Étudiant],$C$7,tblPresences[Code matière],$B22,tblPresences[Statut],"A"))</f>
        <v>0</v>
      </c>
      <c r="H22" s="30">
        <f>IF(OR($C$7="",$B22=""),"",COUNTIFS(tblPresences[Étudiant],$C$7,tblPresences[Code matière],$B22,tblPresences[Statut],"R"))</f>
        <v>0</v>
      </c>
      <c r="I22" s="30">
        <f>IF(OR($C$7="",$B22=""),"",COUNTIFS(tblPresences[Étudiant],$C$7,tblPresences[Code matière],$B22,tblPresences[Statut],"E"))</f>
        <v>0</v>
      </c>
      <c r="J22" s="124">
        <f>IF(OR($C$7="",$B22=""),"",IF(E22=0,"",(F22+H22)/E22))</f>
        <v>0</v>
      </c>
      <c r="K22" s="30">
        <f>IF(OR($C$7="",$B22=""),"",IF(G22&gt;pSeuil,"⚠ ALERTE",IF(G22=pSeuil,"Attention","")))</f>
        <v>0</v>
      </c>
      <c r="O22" s="109"/>
      <c r="P22" s="110"/>
      <c r="W22" s="111"/>
      <c r="X22" s="109"/>
      <c r="Y22" s="110"/>
      <c r="AF22" s="109"/>
      <c r="AG22" s="109"/>
    </row>
    <row r="23" spans="2:33">
      <c r="B23" s="28">
        <f>IFERROR(INDEX(tblMatieres[Code],7),"")</f>
        <v>0</v>
      </c>
      <c r="C23" s="29">
        <f>IF($B23="","",INDEX(tblMatieres[Intitulé],7))</f>
        <v>0</v>
      </c>
      <c r="D23" s="27" cm="1">
        <f t="array" ref="D23">IF(OR($C$7="",$B23=""),"",IF(COUNTIF(tblGroupes[Code matière],$B23)&gt;0,_xlfn.XLOOKUP(1,(tblGroupes[Code matière]=$B23)*(tblGroupes[Étudiant]=$C$7),tblGroupes[Groupe],"—"),_xlfn.XLOOKUP($C$7,tblEtudiants[Nom et prénoms],tblEtudiants[Groupe],"")))</f>
        <v>0</v>
      </c>
      <c r="E23" s="27">
        <f>IF(OR($C$7="",$B23=""),"",COUNTIFS(tblPresences[Étudiant],$C$7,tblPresences[Code matière],$B23))</f>
        <v>0</v>
      </c>
      <c r="F23" s="27">
        <f>IF(OR($C$7="",$B23=""),"",COUNTIFS(tblPresences[Étudiant],$C$7,tblPresences[Code matière],$B23,tblPresences[Statut],"P"))</f>
        <v>0</v>
      </c>
      <c r="G23" s="27">
        <f>IF(OR($C$7="",$B23=""),"",COUNTIFS(tblPresences[Étudiant],$C$7,tblPresences[Code matière],$B23,tblPresences[Statut],"A"))</f>
        <v>0</v>
      </c>
      <c r="H23" s="27">
        <f>IF(OR($C$7="",$B23=""),"",COUNTIFS(tblPresences[Étudiant],$C$7,tblPresences[Code matière],$B23,tblPresences[Statut],"R"))</f>
        <v>0</v>
      </c>
      <c r="I23" s="27">
        <f>IF(OR($C$7="",$B23=""),"",COUNTIFS(tblPresences[Étudiant],$C$7,tblPresences[Code matière],$B23,tblPresences[Statut],"E"))</f>
        <v>0</v>
      </c>
      <c r="J23" s="123">
        <f>IF(OR($C$7="",$B23=""),"",IF(E23=0,"",(F23+H23)/E23))</f>
        <v>0</v>
      </c>
      <c r="K23" s="27">
        <f>IF(OR($C$7="",$B23=""),"",IF(G23&gt;pSeuil,"⚠ ALERTE",IF(G23=pSeuil,"Attention","")))</f>
        <v>0</v>
      </c>
      <c r="O23" s="109"/>
      <c r="P23" s="110"/>
      <c r="W23" s="111"/>
      <c r="X23" s="109"/>
      <c r="Y23" s="110"/>
      <c r="AF23" s="109"/>
      <c r="AG23" s="109"/>
    </row>
    <row r="24" spans="2:33">
      <c r="B24" s="31">
        <f>IFERROR(INDEX(tblMatieres[Code],8),"")</f>
        <v>0</v>
      </c>
      <c r="C24" s="32">
        <f>IF($B24="","",INDEX(tblMatieres[Intitulé],8))</f>
        <v>0</v>
      </c>
      <c r="D24" s="30" cm="1">
        <f t="array" ref="D24">IF(OR($C$7="",$B24=""),"",IF(COUNTIF(tblGroupes[Code matière],$B24)&gt;0,_xlfn.XLOOKUP(1,(tblGroupes[Code matière]=$B24)*(tblGroupes[Étudiant]=$C$7),tblGroupes[Groupe],"—"),_xlfn.XLOOKUP($C$7,tblEtudiants[Nom et prénoms],tblEtudiants[Groupe],"")))</f>
        <v>0</v>
      </c>
      <c r="E24" s="30">
        <f>IF(OR($C$7="",$B24=""),"",COUNTIFS(tblPresences[Étudiant],$C$7,tblPresences[Code matière],$B24))</f>
        <v>0</v>
      </c>
      <c r="F24" s="30">
        <f>IF(OR($C$7="",$B24=""),"",COUNTIFS(tblPresences[Étudiant],$C$7,tblPresences[Code matière],$B24,tblPresences[Statut],"P"))</f>
        <v>0</v>
      </c>
      <c r="G24" s="30">
        <f>IF(OR($C$7="",$B24=""),"",COUNTIFS(tblPresences[Étudiant],$C$7,tblPresences[Code matière],$B24,tblPresences[Statut],"A"))</f>
        <v>0</v>
      </c>
      <c r="H24" s="30">
        <f>IF(OR($C$7="",$B24=""),"",COUNTIFS(tblPresences[Étudiant],$C$7,tblPresences[Code matière],$B24,tblPresences[Statut],"R"))</f>
        <v>0</v>
      </c>
      <c r="I24" s="30">
        <f>IF(OR($C$7="",$B24=""),"",COUNTIFS(tblPresences[Étudiant],$C$7,tblPresences[Code matière],$B24,tblPresences[Statut],"E"))</f>
        <v>0</v>
      </c>
      <c r="J24" s="124">
        <f>IF(OR($C$7="",$B24=""),"",IF(E24=0,"",(F24+H24)/E24))</f>
        <v>0</v>
      </c>
      <c r="K24" s="30">
        <f>IF(OR($C$7="",$B24=""),"",IF(G24&gt;pSeuil,"⚠ ALERTE",IF(G24=pSeuil,"Attention","")))</f>
        <v>0</v>
      </c>
      <c r="O24" s="109"/>
      <c r="P24" s="110"/>
      <c r="W24" s="111"/>
      <c r="X24" s="109"/>
      <c r="Y24" s="110"/>
      <c r="AF24" s="109"/>
      <c r="AG24" s="109"/>
    </row>
    <row r="25" spans="2:33">
      <c r="B25" s="28">
        <f>IFERROR(INDEX(tblMatieres[Code],9),"")</f>
        <v>0</v>
      </c>
      <c r="C25" s="29">
        <f>IF($B25="","",INDEX(tblMatieres[Intitulé],9))</f>
        <v>0</v>
      </c>
      <c r="D25" s="27" cm="1">
        <f t="array" ref="D25">IF(OR($C$7="",$B25=""),"",IF(COUNTIF(tblGroupes[Code matière],$B25)&gt;0,_xlfn.XLOOKUP(1,(tblGroupes[Code matière]=$B25)*(tblGroupes[Étudiant]=$C$7),tblGroupes[Groupe],"—"),_xlfn.XLOOKUP($C$7,tblEtudiants[Nom et prénoms],tblEtudiants[Groupe],"")))</f>
        <v>0</v>
      </c>
      <c r="E25" s="27">
        <f>IF(OR($C$7="",$B25=""),"",COUNTIFS(tblPresences[Étudiant],$C$7,tblPresences[Code matière],$B25))</f>
        <v>0</v>
      </c>
      <c r="F25" s="27">
        <f>IF(OR($C$7="",$B25=""),"",COUNTIFS(tblPresences[Étudiant],$C$7,tblPresences[Code matière],$B25,tblPresences[Statut],"P"))</f>
        <v>0</v>
      </c>
      <c r="G25" s="27">
        <f>IF(OR($C$7="",$B25=""),"",COUNTIFS(tblPresences[Étudiant],$C$7,tblPresences[Code matière],$B25,tblPresences[Statut],"A"))</f>
        <v>0</v>
      </c>
      <c r="H25" s="27">
        <f>IF(OR($C$7="",$B25=""),"",COUNTIFS(tblPresences[Étudiant],$C$7,tblPresences[Code matière],$B25,tblPresences[Statut],"R"))</f>
        <v>0</v>
      </c>
      <c r="I25" s="27">
        <f>IF(OR($C$7="",$B25=""),"",COUNTIFS(tblPresences[Étudiant],$C$7,tblPresences[Code matière],$B25,tblPresences[Statut],"E"))</f>
        <v>0</v>
      </c>
      <c r="J25" s="123">
        <f>IF(OR($C$7="",$B25=""),"",IF(E25=0,"",(F25+H25)/E25))</f>
        <v>0</v>
      </c>
      <c r="K25" s="27">
        <f>IF(OR($C$7="",$B25=""),"",IF(G25&gt;pSeuil,"⚠ ALERTE",IF(G25=pSeuil,"Attention","")))</f>
        <v>0</v>
      </c>
      <c r="O25" s="109"/>
      <c r="P25" s="110"/>
      <c r="W25" s="111"/>
      <c r="X25" s="109"/>
      <c r="Y25" s="110"/>
      <c r="AF25" s="109"/>
      <c r="AG25" s="109"/>
    </row>
    <row r="26" spans="2:33">
      <c r="B26" s="31">
        <f>IFERROR(INDEX(tblMatieres[Code],10),"")</f>
        <v>0</v>
      </c>
      <c r="C26" s="32">
        <f>IF($B26="","",INDEX(tblMatieres[Intitulé],10))</f>
        <v>0</v>
      </c>
      <c r="D26" s="30" cm="1">
        <f t="array" ref="D26">IF(OR($C$7="",$B26=""),"",IF(COUNTIF(tblGroupes[Code matière],$B26)&gt;0,_xlfn.XLOOKUP(1,(tblGroupes[Code matière]=$B26)*(tblGroupes[Étudiant]=$C$7),tblGroupes[Groupe],"—"),_xlfn.XLOOKUP($C$7,tblEtudiants[Nom et prénoms],tblEtudiants[Groupe],"")))</f>
        <v>0</v>
      </c>
      <c r="E26" s="30">
        <f>IF(OR($C$7="",$B26=""),"",COUNTIFS(tblPresences[Étudiant],$C$7,tblPresences[Code matière],$B26))</f>
        <v>0</v>
      </c>
      <c r="F26" s="30">
        <f>IF(OR($C$7="",$B26=""),"",COUNTIFS(tblPresences[Étudiant],$C$7,tblPresences[Code matière],$B26,tblPresences[Statut],"P"))</f>
        <v>0</v>
      </c>
      <c r="G26" s="30">
        <f>IF(OR($C$7="",$B26=""),"",COUNTIFS(tblPresences[Étudiant],$C$7,tblPresences[Code matière],$B26,tblPresences[Statut],"A"))</f>
        <v>0</v>
      </c>
      <c r="H26" s="30">
        <f>IF(OR($C$7="",$B26=""),"",COUNTIFS(tblPresences[Étudiant],$C$7,tblPresences[Code matière],$B26,tblPresences[Statut],"R"))</f>
        <v>0</v>
      </c>
      <c r="I26" s="30">
        <f>IF(OR($C$7="",$B26=""),"",COUNTIFS(tblPresences[Étudiant],$C$7,tblPresences[Code matière],$B26,tblPresences[Statut],"E"))</f>
        <v>0</v>
      </c>
      <c r="J26" s="124">
        <f>IF(OR($C$7="",$B26=""),"",IF(E26=0,"",(F26+H26)/E26))</f>
        <v>0</v>
      </c>
      <c r="K26" s="30">
        <f>IF(OR($C$7="",$B26=""),"",IF(G26&gt;pSeuil,"⚠ ALERTE",IF(G26=pSeuil,"Attention","")))</f>
        <v>0</v>
      </c>
      <c r="O26" s="109"/>
      <c r="P26" s="110"/>
      <c r="W26" s="111"/>
      <c r="X26" s="109"/>
      <c r="Y26" s="110"/>
      <c r="AF26" s="109"/>
      <c r="AG26" s="109"/>
    </row>
    <row r="27" spans="2:33">
      <c r="B27" s="28">
        <f>IFERROR(INDEX(tblMatieres[Code],11),"")</f>
        <v>0</v>
      </c>
      <c r="C27" s="29">
        <f>IF($B27="","",INDEX(tblMatieres[Intitulé],11))</f>
        <v>0</v>
      </c>
      <c r="D27" s="27" cm="1">
        <f t="array" ref="D27">IF(OR($C$7="",$B27=""),"",IF(COUNTIF(tblGroupes[Code matière],$B27)&gt;0,_xlfn.XLOOKUP(1,(tblGroupes[Code matière]=$B27)*(tblGroupes[Étudiant]=$C$7),tblGroupes[Groupe],"—"),_xlfn.XLOOKUP($C$7,tblEtudiants[Nom et prénoms],tblEtudiants[Groupe],"")))</f>
        <v>0</v>
      </c>
      <c r="E27" s="27">
        <f>IF(OR($C$7="",$B27=""),"",COUNTIFS(tblPresences[Étudiant],$C$7,tblPresences[Code matière],$B27))</f>
        <v>0</v>
      </c>
      <c r="F27" s="27">
        <f>IF(OR($C$7="",$B27=""),"",COUNTIFS(tblPresences[Étudiant],$C$7,tblPresences[Code matière],$B27,tblPresences[Statut],"P"))</f>
        <v>0</v>
      </c>
      <c r="G27" s="27">
        <f>IF(OR($C$7="",$B27=""),"",COUNTIFS(tblPresences[Étudiant],$C$7,tblPresences[Code matière],$B27,tblPresences[Statut],"A"))</f>
        <v>0</v>
      </c>
      <c r="H27" s="27">
        <f>IF(OR($C$7="",$B27=""),"",COUNTIFS(tblPresences[Étudiant],$C$7,tblPresences[Code matière],$B27,tblPresences[Statut],"R"))</f>
        <v>0</v>
      </c>
      <c r="I27" s="27">
        <f>IF(OR($C$7="",$B27=""),"",COUNTIFS(tblPresences[Étudiant],$C$7,tblPresences[Code matière],$B27,tblPresences[Statut],"E"))</f>
        <v>0</v>
      </c>
      <c r="J27" s="123">
        <f>IF(OR($C$7="",$B27=""),"",IF(E27=0,"",(F27+H27)/E27))</f>
        <v>0</v>
      </c>
      <c r="K27" s="27">
        <f>IF(OR($C$7="",$B27=""),"",IF(G27&gt;pSeuil,"⚠ ALERTE",IF(G27=pSeuil,"Attention","")))</f>
        <v>0</v>
      </c>
      <c r="O27" s="109"/>
      <c r="P27" s="110"/>
      <c r="W27" s="111"/>
      <c r="X27" s="109"/>
      <c r="Y27" s="110"/>
      <c r="AF27" s="109"/>
      <c r="AG27" s="109"/>
    </row>
    <row r="28" spans="2:33">
      <c r="B28" s="31">
        <f>IFERROR(INDEX(tblMatieres[Code],12),"")</f>
        <v>0</v>
      </c>
      <c r="C28" s="32">
        <f>IF($B28="","",INDEX(tblMatieres[Intitulé],12))</f>
        <v>0</v>
      </c>
      <c r="D28" s="30" cm="1">
        <f t="array" ref="D28">IF(OR($C$7="",$B28=""),"",IF(COUNTIF(tblGroupes[Code matière],$B28)&gt;0,_xlfn.XLOOKUP(1,(tblGroupes[Code matière]=$B28)*(tblGroupes[Étudiant]=$C$7),tblGroupes[Groupe],"—"),_xlfn.XLOOKUP($C$7,tblEtudiants[Nom et prénoms],tblEtudiants[Groupe],"")))</f>
        <v>0</v>
      </c>
      <c r="E28" s="30">
        <f>IF(OR($C$7="",$B28=""),"",COUNTIFS(tblPresences[Étudiant],$C$7,tblPresences[Code matière],$B28))</f>
        <v>0</v>
      </c>
      <c r="F28" s="30">
        <f>IF(OR($C$7="",$B28=""),"",COUNTIFS(tblPresences[Étudiant],$C$7,tblPresences[Code matière],$B28,tblPresences[Statut],"P"))</f>
        <v>0</v>
      </c>
      <c r="G28" s="30">
        <f>IF(OR($C$7="",$B28=""),"",COUNTIFS(tblPresences[Étudiant],$C$7,tblPresences[Code matière],$B28,tblPresences[Statut],"A"))</f>
        <v>0</v>
      </c>
      <c r="H28" s="30">
        <f>IF(OR($C$7="",$B28=""),"",COUNTIFS(tblPresences[Étudiant],$C$7,tblPresences[Code matière],$B28,tblPresences[Statut],"R"))</f>
        <v>0</v>
      </c>
      <c r="I28" s="30">
        <f>IF(OR($C$7="",$B28=""),"",COUNTIFS(tblPresences[Étudiant],$C$7,tblPresences[Code matière],$B28,tblPresences[Statut],"E"))</f>
        <v>0</v>
      </c>
      <c r="J28" s="124">
        <f>IF(OR($C$7="",$B28=""),"",IF(E28=0,"",(F28+H28)/E28))</f>
        <v>0</v>
      </c>
      <c r="K28" s="30">
        <f>IF(OR($C$7="",$B28=""),"",IF(G28&gt;pSeuil,"⚠ ALERTE",IF(G28=pSeuil,"Attention","")))</f>
        <v>0</v>
      </c>
      <c r="O28" s="109"/>
      <c r="P28" s="110"/>
      <c r="W28" s="111"/>
      <c r="X28" s="109"/>
      <c r="Y28" s="110"/>
      <c r="AF28" s="109"/>
      <c r="AG28" s="109"/>
    </row>
    <row r="29" spans="2:33">
      <c r="B29" s="28">
        <f>IFERROR(INDEX(tblMatieres[Code],13),"")</f>
        <v>0</v>
      </c>
      <c r="C29" s="29">
        <f>IF($B29="","",INDEX(tblMatieres[Intitulé],13))</f>
        <v>0</v>
      </c>
      <c r="D29" s="27" cm="1">
        <f t="array" ref="D29">IF(OR($C$7="",$B29=""),"",IF(COUNTIF(tblGroupes[Code matière],$B29)&gt;0,_xlfn.XLOOKUP(1,(tblGroupes[Code matière]=$B29)*(tblGroupes[Étudiant]=$C$7),tblGroupes[Groupe],"—"),_xlfn.XLOOKUP($C$7,tblEtudiants[Nom et prénoms],tblEtudiants[Groupe],"")))</f>
        <v>0</v>
      </c>
      <c r="E29" s="27">
        <f>IF(OR($C$7="",$B29=""),"",COUNTIFS(tblPresences[Étudiant],$C$7,tblPresences[Code matière],$B29))</f>
        <v>0</v>
      </c>
      <c r="F29" s="27">
        <f>IF(OR($C$7="",$B29=""),"",COUNTIFS(tblPresences[Étudiant],$C$7,tblPresences[Code matière],$B29,tblPresences[Statut],"P"))</f>
        <v>0</v>
      </c>
      <c r="G29" s="27">
        <f>IF(OR($C$7="",$B29=""),"",COUNTIFS(tblPresences[Étudiant],$C$7,tblPresences[Code matière],$B29,tblPresences[Statut],"A"))</f>
        <v>0</v>
      </c>
      <c r="H29" s="27">
        <f>IF(OR($C$7="",$B29=""),"",COUNTIFS(tblPresences[Étudiant],$C$7,tblPresences[Code matière],$B29,tblPresences[Statut],"R"))</f>
        <v>0</v>
      </c>
      <c r="I29" s="27">
        <f>IF(OR($C$7="",$B29=""),"",COUNTIFS(tblPresences[Étudiant],$C$7,tblPresences[Code matière],$B29,tblPresences[Statut],"E"))</f>
        <v>0</v>
      </c>
      <c r="J29" s="123">
        <f>IF(OR($C$7="",$B29=""),"",IF(E29=0,"",(F29+H29)/E29))</f>
        <v>0</v>
      </c>
      <c r="K29" s="27">
        <f>IF(OR($C$7="",$B29=""),"",IF(G29&gt;pSeuil,"⚠ ALERTE",IF(G29=pSeuil,"Attention","")))</f>
        <v>0</v>
      </c>
      <c r="O29" s="109"/>
      <c r="P29" s="110"/>
      <c r="W29" s="111"/>
      <c r="X29" s="109"/>
      <c r="Y29" s="110"/>
      <c r="AF29" s="109"/>
      <c r="AG29" s="109"/>
    </row>
    <row r="30" spans="2:33">
      <c r="B30" s="31">
        <f>IFERROR(INDEX(tblMatieres[Code],14),"")</f>
        <v>0</v>
      </c>
      <c r="C30" s="32">
        <f>IF($B30="","",INDEX(tblMatieres[Intitulé],14))</f>
        <v>0</v>
      </c>
      <c r="D30" s="30" cm="1">
        <f t="array" ref="D30">IF(OR($C$7="",$B30=""),"",IF(COUNTIF(tblGroupes[Code matière],$B30)&gt;0,_xlfn.XLOOKUP(1,(tblGroupes[Code matière]=$B30)*(tblGroupes[Étudiant]=$C$7),tblGroupes[Groupe],"—"),_xlfn.XLOOKUP($C$7,tblEtudiants[Nom et prénoms],tblEtudiants[Groupe],"")))</f>
        <v>0</v>
      </c>
      <c r="E30" s="30">
        <f>IF(OR($C$7="",$B30=""),"",COUNTIFS(tblPresences[Étudiant],$C$7,tblPresences[Code matière],$B30))</f>
        <v>0</v>
      </c>
      <c r="F30" s="30">
        <f>IF(OR($C$7="",$B30=""),"",COUNTIFS(tblPresences[Étudiant],$C$7,tblPresences[Code matière],$B30,tblPresences[Statut],"P"))</f>
        <v>0</v>
      </c>
      <c r="G30" s="30">
        <f>IF(OR($C$7="",$B30=""),"",COUNTIFS(tblPresences[Étudiant],$C$7,tblPresences[Code matière],$B30,tblPresences[Statut],"A"))</f>
        <v>0</v>
      </c>
      <c r="H30" s="30">
        <f>IF(OR($C$7="",$B30=""),"",COUNTIFS(tblPresences[Étudiant],$C$7,tblPresences[Code matière],$B30,tblPresences[Statut],"R"))</f>
        <v>0</v>
      </c>
      <c r="I30" s="30">
        <f>IF(OR($C$7="",$B30=""),"",COUNTIFS(tblPresences[Étudiant],$C$7,tblPresences[Code matière],$B30,tblPresences[Statut],"E"))</f>
        <v>0</v>
      </c>
      <c r="J30" s="124">
        <f>IF(OR($C$7="",$B30=""),"",IF(E30=0,"",(F30+H30)/E30))</f>
        <v>0</v>
      </c>
      <c r="K30" s="30">
        <f>IF(OR($C$7="",$B30=""),"",IF(G30&gt;pSeuil,"⚠ ALERTE",IF(G30=pSeuil,"Attention","")))</f>
        <v>0</v>
      </c>
      <c r="O30" s="109"/>
      <c r="P30" s="110"/>
      <c r="W30" s="111"/>
      <c r="X30" s="109"/>
      <c r="Y30" s="110"/>
      <c r="AF30" s="109"/>
      <c r="AG30" s="109"/>
    </row>
    <row r="31" spans="2:33">
      <c r="B31" s="28">
        <f>IFERROR(INDEX(tblMatieres[Code],15),"")</f>
        <v>0</v>
      </c>
      <c r="C31" s="29">
        <f>IF($B31="","",INDEX(tblMatieres[Intitulé],15))</f>
        <v>0</v>
      </c>
      <c r="D31" s="27" cm="1">
        <f t="array" ref="D31">IF(OR($C$7="",$B31=""),"",IF(COUNTIF(tblGroupes[Code matière],$B31)&gt;0,_xlfn.XLOOKUP(1,(tblGroupes[Code matière]=$B31)*(tblGroupes[Étudiant]=$C$7),tblGroupes[Groupe],"—"),_xlfn.XLOOKUP($C$7,tblEtudiants[Nom et prénoms],tblEtudiants[Groupe],"")))</f>
        <v>0</v>
      </c>
      <c r="E31" s="27">
        <f>IF(OR($C$7="",$B31=""),"",COUNTIFS(tblPresences[Étudiant],$C$7,tblPresences[Code matière],$B31))</f>
        <v>0</v>
      </c>
      <c r="F31" s="27">
        <f>IF(OR($C$7="",$B31=""),"",COUNTIFS(tblPresences[Étudiant],$C$7,tblPresences[Code matière],$B31,tblPresences[Statut],"P"))</f>
        <v>0</v>
      </c>
      <c r="G31" s="27">
        <f>IF(OR($C$7="",$B31=""),"",COUNTIFS(tblPresences[Étudiant],$C$7,tblPresences[Code matière],$B31,tblPresences[Statut],"A"))</f>
        <v>0</v>
      </c>
      <c r="H31" s="27">
        <f>IF(OR($C$7="",$B31=""),"",COUNTIFS(tblPresences[Étudiant],$C$7,tblPresences[Code matière],$B31,tblPresences[Statut],"R"))</f>
        <v>0</v>
      </c>
      <c r="I31" s="27">
        <f>IF(OR($C$7="",$B31=""),"",COUNTIFS(tblPresences[Étudiant],$C$7,tblPresences[Code matière],$B31,tblPresences[Statut],"E"))</f>
        <v>0</v>
      </c>
      <c r="J31" s="123">
        <f>IF(OR($C$7="",$B31=""),"",IF(E31=0,"",(F31+H31)/E31))</f>
        <v>0</v>
      </c>
      <c r="K31" s="27">
        <f>IF(OR($C$7="",$B31=""),"",IF(G31&gt;pSeuil,"⚠ ALERTE",IF(G31=pSeuil,"Attention","")))</f>
        <v>0</v>
      </c>
      <c r="O31" s="109"/>
      <c r="P31" s="110"/>
      <c r="W31" s="111"/>
      <c r="X31" s="109"/>
      <c r="Y31" s="110"/>
      <c r="AF31" s="109"/>
      <c r="AG31" s="109"/>
    </row>
    <row r="32" spans="2:33">
      <c r="O32" s="109"/>
      <c r="P32" s="110"/>
      <c r="W32" s="111"/>
      <c r="X32" s="109"/>
      <c r="Y32" s="110"/>
      <c r="AF32" s="109"/>
      <c r="AG32" s="109"/>
    </row>
    <row r="33" spans="2:33">
      <c r="B33" s="125" t="s">
        <v>176</v>
      </c>
      <c r="C33" s="125"/>
      <c r="D33" s="125"/>
      <c r="E33" s="125"/>
      <c r="O33" s="109"/>
      <c r="P33" s="110"/>
      <c r="W33" s="111"/>
      <c r="X33" s="109"/>
      <c r="Y33" s="110"/>
      <c r="AF33" s="109"/>
      <c r="AG33" s="109"/>
    </row>
    <row r="34" spans="2:33">
      <c r="B34" s="103" t="s">
        <v>13</v>
      </c>
      <c r="C34" s="103" t="s">
        <v>14</v>
      </c>
      <c r="D34" s="103" t="s">
        <v>80</v>
      </c>
      <c r="E34" s="103" t="s">
        <v>123</v>
      </c>
      <c r="O34" s="109"/>
      <c r="P34" s="110"/>
      <c r="W34" s="111"/>
      <c r="X34" s="109"/>
      <c r="Y34" s="110"/>
      <c r="AF34" s="109"/>
      <c r="AG34" s="109"/>
    </row>
    <row r="35" spans="2:33">
      <c r="B35" cm="1">
        <f t="array" ref="B35">IF($C$7="","",_xlfn._xlws.SORT(_xlfn._xlws.FILTER(tblPresences[[Code matière]:[Heure]],(tblPresences[Étudiant]=$C$7)*(tblPresences[Statut]="A"),"Aucune absence"),3,-1))</f>
        <v>0</v>
      </c>
      <c r="D35" s="109"/>
      <c r="E35" s="110"/>
      <c r="O35" s="109"/>
      <c r="P35" s="110"/>
      <c r="W35" s="111"/>
      <c r="X35" s="109"/>
      <c r="Y35" s="110"/>
      <c r="AF35" s="109"/>
      <c r="AG35" s="109"/>
    </row>
    <row r="36" spans="2:33">
      <c r="D36" s="109"/>
      <c r="E36" s="110"/>
      <c r="O36" s="109"/>
      <c r="P36" s="110"/>
      <c r="W36" s="111"/>
      <c r="X36" s="109"/>
      <c r="Y36" s="110"/>
      <c r="AF36" s="109"/>
      <c r="AG36" s="109"/>
    </row>
    <row r="37" spans="2:33">
      <c r="D37" s="109"/>
      <c r="E37" s="110"/>
      <c r="O37" s="109"/>
      <c r="P37" s="110"/>
      <c r="W37" s="111"/>
      <c r="X37" s="109"/>
      <c r="Y37" s="110"/>
      <c r="AF37" s="109"/>
      <c r="AG37" s="109"/>
    </row>
    <row r="38" spans="2:33">
      <c r="D38" s="109"/>
      <c r="E38" s="110"/>
      <c r="O38" s="109"/>
      <c r="P38" s="110"/>
      <c r="W38" s="111"/>
      <c r="X38" s="109"/>
      <c r="Y38" s="110"/>
      <c r="AF38" s="109"/>
      <c r="AG38" s="109"/>
    </row>
    <row r="39" spans="2:33">
      <c r="D39" s="109"/>
      <c r="E39" s="110"/>
      <c r="O39" s="109"/>
      <c r="P39" s="110"/>
      <c r="W39" s="111"/>
      <c r="X39" s="109"/>
      <c r="Y39" s="110"/>
      <c r="AF39" s="109"/>
      <c r="AG39" s="109"/>
    </row>
    <row r="40" spans="2:33">
      <c r="D40" s="109"/>
      <c r="E40" s="110"/>
      <c r="O40" s="109"/>
      <c r="P40" s="110"/>
      <c r="W40" s="111"/>
      <c r="X40" s="109"/>
      <c r="Y40" s="110"/>
      <c r="AF40" s="109"/>
      <c r="AG40" s="109"/>
    </row>
    <row r="41" spans="2:33">
      <c r="D41" s="109"/>
      <c r="E41" s="110"/>
      <c r="O41" s="109"/>
      <c r="P41" s="110"/>
      <c r="W41" s="111"/>
      <c r="X41" s="109"/>
      <c r="Y41" s="110"/>
      <c r="AF41" s="109"/>
      <c r="AG41" s="109"/>
    </row>
    <row r="42" spans="2:33">
      <c r="D42" s="109"/>
      <c r="E42" s="110"/>
      <c r="O42" s="109"/>
      <c r="P42" s="110"/>
      <c r="W42" s="111"/>
      <c r="X42" s="109"/>
      <c r="Y42" s="110"/>
      <c r="AF42" s="109"/>
      <c r="AG42" s="109"/>
    </row>
    <row r="43" spans="2:33">
      <c r="D43" s="109"/>
      <c r="E43" s="110"/>
      <c r="O43" s="109"/>
      <c r="P43" s="110"/>
      <c r="W43" s="111"/>
      <c r="X43" s="109"/>
      <c r="Y43" s="110"/>
      <c r="AF43" s="109"/>
      <c r="AG43" s="109"/>
    </row>
    <row r="44" spans="2:33">
      <c r="D44" s="109"/>
      <c r="E44" s="110"/>
      <c r="O44" s="109"/>
      <c r="P44" s="110"/>
      <c r="W44" s="111"/>
      <c r="X44" s="109"/>
      <c r="Y44" s="110"/>
      <c r="AF44" s="109"/>
      <c r="AG44" s="109"/>
    </row>
    <row r="45" spans="2:33">
      <c r="D45" s="109"/>
      <c r="E45" s="110"/>
      <c r="O45" s="109"/>
      <c r="P45" s="110"/>
      <c r="W45" s="111"/>
      <c r="X45" s="109"/>
      <c r="Y45" s="110"/>
      <c r="AF45" s="109"/>
      <c r="AG45" s="109"/>
    </row>
    <row r="46" spans="2:33">
      <c r="D46" s="109"/>
      <c r="E46" s="110"/>
      <c r="O46" s="109"/>
      <c r="P46" s="110"/>
      <c r="W46" s="111"/>
      <c r="X46" s="109"/>
      <c r="Y46" s="110"/>
      <c r="AF46" s="109"/>
      <c r="AG46" s="109"/>
    </row>
    <row r="47" spans="2:33">
      <c r="D47" s="109"/>
      <c r="E47" s="110"/>
      <c r="O47" s="109"/>
      <c r="P47" s="110"/>
      <c r="W47" s="111"/>
      <c r="X47" s="109"/>
      <c r="Y47" s="110"/>
      <c r="AF47" s="109"/>
      <c r="AG47" s="109"/>
    </row>
    <row r="48" spans="2:33">
      <c r="D48" s="109"/>
      <c r="E48" s="110"/>
      <c r="O48" s="109"/>
      <c r="P48" s="110"/>
      <c r="W48" s="111"/>
      <c r="X48" s="109"/>
      <c r="Y48" s="110"/>
      <c r="AF48" s="109"/>
      <c r="AG48" s="109"/>
    </row>
    <row r="49" spans="4:33">
      <c r="D49" s="109"/>
      <c r="E49" s="110"/>
      <c r="O49" s="109"/>
      <c r="P49" s="110"/>
      <c r="W49" s="111"/>
      <c r="X49" s="109"/>
      <c r="Y49" s="110"/>
      <c r="AF49" s="109"/>
      <c r="AG49" s="109"/>
    </row>
    <row r="50" spans="4:33">
      <c r="D50" s="109"/>
      <c r="E50" s="110"/>
      <c r="O50" s="109"/>
      <c r="P50" s="110"/>
      <c r="W50" s="111"/>
      <c r="X50" s="109"/>
      <c r="Y50" s="110"/>
      <c r="AF50" s="109"/>
      <c r="AG50" s="109"/>
    </row>
    <row r="51" spans="4:33">
      <c r="D51" s="109"/>
      <c r="E51" s="110"/>
      <c r="O51" s="109"/>
      <c r="P51" s="110"/>
      <c r="W51" s="111"/>
      <c r="X51" s="109"/>
      <c r="Y51" s="110"/>
      <c r="AF51" s="109"/>
      <c r="AG51" s="109"/>
    </row>
    <row r="52" spans="4:33">
      <c r="D52" s="109"/>
      <c r="E52" s="110"/>
      <c r="O52" s="109"/>
      <c r="P52" s="110"/>
      <c r="W52" s="111"/>
      <c r="X52" s="109"/>
      <c r="Y52" s="110"/>
      <c r="AF52" s="109"/>
      <c r="AG52" s="109"/>
    </row>
    <row r="53" spans="4:33">
      <c r="D53" s="109"/>
      <c r="E53" s="110"/>
      <c r="O53" s="109"/>
      <c r="P53" s="110"/>
      <c r="W53" s="111"/>
      <c r="X53" s="109"/>
      <c r="Y53" s="110"/>
      <c r="AF53" s="109"/>
      <c r="AG53" s="109"/>
    </row>
    <row r="54" spans="4:33">
      <c r="D54" s="109"/>
      <c r="E54" s="110"/>
      <c r="O54" s="109"/>
      <c r="P54" s="110"/>
      <c r="W54" s="111"/>
      <c r="X54" s="109"/>
      <c r="Y54" s="110"/>
      <c r="AF54" s="109"/>
      <c r="AG54" s="109"/>
    </row>
    <row r="55" spans="4:33">
      <c r="D55" s="109"/>
      <c r="E55" s="110"/>
      <c r="O55" s="109"/>
      <c r="P55" s="110"/>
      <c r="W55" s="111"/>
      <c r="X55" s="109"/>
      <c r="Y55" s="110"/>
      <c r="AF55" s="109"/>
      <c r="AG55" s="109"/>
    </row>
    <row r="56" spans="4:33">
      <c r="D56" s="109"/>
      <c r="E56" s="110"/>
      <c r="O56" s="109"/>
      <c r="P56" s="110"/>
      <c r="W56" s="111"/>
      <c r="X56" s="109"/>
      <c r="Y56" s="110"/>
      <c r="AF56" s="109"/>
      <c r="AG56" s="109"/>
    </row>
    <row r="57" spans="4:33">
      <c r="D57" s="109"/>
      <c r="E57" s="110"/>
      <c r="O57" s="109"/>
      <c r="P57" s="110"/>
      <c r="W57" s="111"/>
      <c r="X57" s="109"/>
      <c r="Y57" s="110"/>
      <c r="AF57" s="109"/>
      <c r="AG57" s="109"/>
    </row>
    <row r="58" spans="4:33">
      <c r="D58" s="109"/>
      <c r="E58" s="110"/>
      <c r="O58" s="109"/>
      <c r="P58" s="110"/>
      <c r="W58" s="111"/>
      <c r="X58" s="109"/>
      <c r="Y58" s="110"/>
      <c r="AF58" s="109"/>
      <c r="AG58" s="109"/>
    </row>
    <row r="59" spans="4:33">
      <c r="D59" s="109"/>
      <c r="E59" s="110"/>
      <c r="O59" s="109"/>
      <c r="P59" s="110"/>
      <c r="W59" s="111"/>
      <c r="X59" s="109"/>
      <c r="Y59" s="110"/>
      <c r="AF59" s="109"/>
      <c r="AG59" s="109"/>
    </row>
    <row r="60" spans="4:33">
      <c r="D60" s="109"/>
      <c r="E60" s="110"/>
      <c r="O60" s="109"/>
      <c r="P60" s="110"/>
      <c r="W60" s="111"/>
      <c r="X60" s="109"/>
      <c r="Y60" s="110"/>
      <c r="AF60" s="109"/>
      <c r="AG60" s="109"/>
    </row>
    <row r="61" spans="4:33">
      <c r="D61" s="109"/>
      <c r="E61" s="110"/>
      <c r="O61" s="109"/>
      <c r="P61" s="110"/>
      <c r="W61" s="111"/>
      <c r="X61" s="109"/>
      <c r="Y61" s="110"/>
      <c r="AF61" s="109"/>
      <c r="AG61" s="109"/>
    </row>
    <row r="62" spans="4:33">
      <c r="D62" s="109"/>
      <c r="E62" s="110"/>
      <c r="O62" s="109"/>
      <c r="P62" s="110"/>
      <c r="W62" s="111"/>
      <c r="X62" s="109"/>
      <c r="Y62" s="110"/>
      <c r="AF62" s="109"/>
      <c r="AG62" s="109"/>
    </row>
    <row r="63" spans="4:33">
      <c r="D63" s="109"/>
      <c r="E63" s="110"/>
      <c r="O63" s="109"/>
      <c r="P63" s="110"/>
      <c r="W63" s="111"/>
      <c r="X63" s="109"/>
      <c r="Y63" s="110"/>
      <c r="AF63" s="109"/>
      <c r="AG63" s="109"/>
    </row>
    <row r="64" spans="4:33">
      <c r="D64" s="109"/>
      <c r="E64" s="110"/>
      <c r="O64" s="109"/>
      <c r="P64" s="110"/>
      <c r="W64" s="111"/>
      <c r="X64" s="109"/>
      <c r="Y64" s="110"/>
      <c r="AF64" s="109"/>
      <c r="AG64" s="109"/>
    </row>
    <row r="65" spans="4:33">
      <c r="D65" s="109"/>
      <c r="E65" s="110"/>
      <c r="O65" s="109"/>
      <c r="P65" s="110"/>
      <c r="W65" s="111"/>
      <c r="X65" s="109"/>
      <c r="Y65" s="110"/>
      <c r="AF65" s="109"/>
      <c r="AG65" s="109"/>
    </row>
    <row r="66" spans="4:33">
      <c r="D66" s="109"/>
      <c r="E66" s="110"/>
      <c r="O66" s="109"/>
      <c r="P66" s="110"/>
      <c r="W66" s="111"/>
      <c r="X66" s="109"/>
      <c r="Y66" s="110"/>
      <c r="AF66" s="109"/>
      <c r="AG66" s="109"/>
    </row>
    <row r="67" spans="4:33">
      <c r="D67" s="109"/>
      <c r="E67" s="110"/>
      <c r="O67" s="109"/>
      <c r="P67" s="110"/>
      <c r="W67" s="111"/>
      <c r="X67" s="109"/>
      <c r="Y67" s="110"/>
      <c r="AF67" s="109"/>
      <c r="AG67" s="109"/>
    </row>
    <row r="68" spans="4:33">
      <c r="D68" s="109"/>
      <c r="E68" s="110"/>
      <c r="O68" s="109"/>
      <c r="P68" s="110"/>
      <c r="W68" s="111"/>
      <c r="X68" s="109"/>
      <c r="Y68" s="110"/>
      <c r="AF68" s="109"/>
      <c r="AG68" s="109"/>
    </row>
    <row r="69" spans="4:33">
      <c r="D69" s="109"/>
      <c r="E69" s="110"/>
      <c r="O69" s="109"/>
      <c r="P69" s="110"/>
      <c r="W69" s="111"/>
      <c r="X69" s="109"/>
      <c r="Y69" s="110"/>
      <c r="AF69" s="109"/>
      <c r="AG69" s="109"/>
    </row>
    <row r="70" spans="4:33">
      <c r="D70" s="109"/>
      <c r="E70" s="110"/>
      <c r="O70" s="109"/>
      <c r="P70" s="110"/>
      <c r="W70" s="111"/>
      <c r="X70" s="109"/>
      <c r="Y70" s="110"/>
      <c r="AF70" s="109"/>
      <c r="AG70" s="109"/>
    </row>
    <row r="71" spans="4:33">
      <c r="D71" s="109"/>
      <c r="E71" s="110"/>
      <c r="O71" s="109"/>
      <c r="P71" s="110"/>
      <c r="W71" s="111"/>
      <c r="X71" s="109"/>
      <c r="Y71" s="110"/>
      <c r="AF71" s="109"/>
      <c r="AG71" s="109"/>
    </row>
    <row r="72" spans="4:33">
      <c r="D72" s="109"/>
      <c r="E72" s="110"/>
      <c r="O72" s="109"/>
      <c r="P72" s="110"/>
      <c r="W72" s="111"/>
      <c r="X72" s="109"/>
      <c r="Y72" s="110"/>
      <c r="AF72" s="109"/>
      <c r="AG72" s="109"/>
    </row>
    <row r="73" spans="4:33">
      <c r="D73" s="109"/>
      <c r="E73" s="110"/>
      <c r="O73" s="109"/>
      <c r="P73" s="110"/>
      <c r="W73" s="111"/>
      <c r="X73" s="109"/>
      <c r="Y73" s="110"/>
      <c r="AF73" s="109"/>
      <c r="AG73" s="109"/>
    </row>
    <row r="74" spans="4:33">
      <c r="D74" s="109"/>
      <c r="E74" s="110"/>
      <c r="O74" s="109"/>
      <c r="P74" s="110"/>
      <c r="W74" s="111"/>
      <c r="X74" s="109"/>
      <c r="Y74" s="110"/>
      <c r="AF74" s="109"/>
      <c r="AG74" s="109"/>
    </row>
    <row r="75" spans="4:33">
      <c r="D75" s="109"/>
      <c r="E75" s="110"/>
      <c r="O75" s="109"/>
      <c r="P75" s="110"/>
      <c r="W75" s="111"/>
      <c r="X75" s="109"/>
      <c r="Y75" s="110"/>
      <c r="AF75" s="109"/>
      <c r="AG75" s="109"/>
    </row>
    <row r="76" spans="4:33">
      <c r="D76" s="109"/>
      <c r="E76" s="110"/>
      <c r="O76" s="109"/>
      <c r="P76" s="110"/>
      <c r="W76" s="111"/>
      <c r="X76" s="109"/>
      <c r="Y76" s="110"/>
      <c r="AF76" s="109"/>
      <c r="AG76" s="109"/>
    </row>
    <row r="77" spans="4:33">
      <c r="D77" s="109"/>
      <c r="E77" s="110"/>
      <c r="O77" s="109"/>
      <c r="P77" s="110"/>
      <c r="W77" s="111"/>
      <c r="X77" s="109"/>
      <c r="Y77" s="110"/>
      <c r="AF77" s="109"/>
      <c r="AG77" s="109"/>
    </row>
    <row r="78" spans="4:33">
      <c r="D78" s="109"/>
      <c r="E78" s="110"/>
      <c r="O78" s="109"/>
      <c r="P78" s="110"/>
      <c r="W78" s="111"/>
      <c r="X78" s="109"/>
      <c r="Y78" s="110"/>
      <c r="AF78" s="109"/>
      <c r="AG78" s="109"/>
    </row>
    <row r="79" spans="4:33">
      <c r="D79" s="109"/>
      <c r="E79" s="110"/>
      <c r="O79" s="109"/>
      <c r="P79" s="110"/>
      <c r="W79" s="111"/>
      <c r="X79" s="109"/>
      <c r="Y79" s="110"/>
      <c r="AF79" s="109"/>
      <c r="AG79" s="109"/>
    </row>
    <row r="80" spans="4:33">
      <c r="D80" s="109"/>
      <c r="E80" s="110"/>
      <c r="O80" s="109"/>
      <c r="P80" s="110"/>
      <c r="W80" s="111"/>
      <c r="X80" s="109"/>
      <c r="Y80" s="110"/>
      <c r="AF80" s="109"/>
      <c r="AG80" s="109"/>
    </row>
    <row r="81" spans="4:33">
      <c r="D81" s="109"/>
      <c r="E81" s="110"/>
      <c r="O81" s="109"/>
      <c r="P81" s="110"/>
      <c r="W81" s="111"/>
      <c r="X81" s="109"/>
      <c r="Y81" s="110"/>
      <c r="AF81" s="109"/>
      <c r="AG81" s="109"/>
    </row>
    <row r="82" spans="4:33">
      <c r="D82" s="109"/>
      <c r="E82" s="110"/>
      <c r="O82" s="109"/>
      <c r="P82" s="110"/>
      <c r="W82" s="111"/>
      <c r="X82" s="109"/>
      <c r="Y82" s="110"/>
      <c r="AF82" s="109"/>
      <c r="AG82" s="109"/>
    </row>
    <row r="83" spans="4:33">
      <c r="D83" s="109"/>
      <c r="E83" s="110"/>
      <c r="O83" s="109"/>
      <c r="P83" s="110"/>
      <c r="W83" s="111"/>
      <c r="X83" s="109"/>
      <c r="Y83" s="110"/>
      <c r="AF83" s="109"/>
      <c r="AG83" s="109"/>
    </row>
    <row r="84" spans="4:33">
      <c r="D84" s="109"/>
      <c r="E84" s="110"/>
      <c r="O84" s="109"/>
      <c r="P84" s="110"/>
      <c r="W84" s="111"/>
      <c r="X84" s="109"/>
      <c r="Y84" s="110"/>
      <c r="AF84" s="109"/>
      <c r="AG84" s="109"/>
    </row>
    <row r="85" spans="4:33">
      <c r="D85" s="109"/>
      <c r="E85" s="110"/>
      <c r="O85" s="109"/>
      <c r="P85" s="110"/>
      <c r="W85" s="111"/>
      <c r="X85" s="109"/>
      <c r="Y85" s="110"/>
      <c r="AF85" s="109"/>
      <c r="AG85" s="109"/>
    </row>
    <row r="86" spans="4:33">
      <c r="D86" s="109"/>
      <c r="E86" s="110"/>
      <c r="O86" s="109"/>
      <c r="P86" s="110"/>
      <c r="W86" s="111"/>
      <c r="X86" s="109"/>
      <c r="Y86" s="110"/>
      <c r="AF86" s="109"/>
      <c r="AG86" s="109"/>
    </row>
    <row r="87" spans="4:33">
      <c r="D87" s="109"/>
      <c r="E87" s="110"/>
      <c r="O87" s="109"/>
      <c r="P87" s="110"/>
      <c r="W87" s="111"/>
      <c r="X87" s="109"/>
      <c r="Y87" s="110"/>
      <c r="AF87" s="109"/>
      <c r="AG87" s="109"/>
    </row>
    <row r="88" spans="4:33">
      <c r="D88" s="109"/>
      <c r="E88" s="110"/>
      <c r="O88" s="109"/>
      <c r="P88" s="110"/>
      <c r="W88" s="111"/>
      <c r="X88" s="109"/>
      <c r="Y88" s="110"/>
      <c r="AF88" s="109"/>
      <c r="AG88" s="109"/>
    </row>
    <row r="89" spans="4:33">
      <c r="D89" s="109"/>
      <c r="E89" s="110"/>
      <c r="O89" s="109"/>
      <c r="P89" s="110"/>
      <c r="W89" s="111"/>
      <c r="X89" s="109"/>
      <c r="Y89" s="110"/>
      <c r="AF89" s="109"/>
      <c r="AG89" s="109"/>
    </row>
    <row r="90" spans="4:33">
      <c r="D90" s="109"/>
      <c r="E90" s="110"/>
      <c r="O90" s="109"/>
      <c r="P90" s="110"/>
      <c r="W90" s="111"/>
      <c r="X90" s="109"/>
      <c r="Y90" s="110"/>
      <c r="AF90" s="109"/>
      <c r="AG90" s="109"/>
    </row>
    <row r="91" spans="4:33">
      <c r="D91" s="109"/>
      <c r="E91" s="110"/>
      <c r="O91" s="109"/>
      <c r="P91" s="110"/>
      <c r="W91" s="111"/>
      <c r="X91" s="109"/>
      <c r="Y91" s="110"/>
      <c r="AF91" s="109"/>
      <c r="AG91" s="109"/>
    </row>
    <row r="92" spans="4:33">
      <c r="D92" s="109"/>
      <c r="E92" s="110"/>
      <c r="O92" s="109"/>
      <c r="P92" s="110"/>
      <c r="W92" s="111"/>
      <c r="X92" s="109"/>
      <c r="Y92" s="110"/>
      <c r="AF92" s="109"/>
      <c r="AG92" s="109"/>
    </row>
    <row r="93" spans="4:33">
      <c r="D93" s="109"/>
      <c r="E93" s="110"/>
      <c r="O93" s="109"/>
      <c r="P93" s="110"/>
      <c r="W93" s="111"/>
      <c r="X93" s="109"/>
      <c r="Y93" s="110"/>
      <c r="AF93" s="109"/>
      <c r="AG93" s="109"/>
    </row>
    <row r="94" spans="4:33">
      <c r="D94" s="109"/>
      <c r="E94" s="110"/>
      <c r="O94" s="109"/>
      <c r="P94" s="110"/>
      <c r="W94" s="111"/>
      <c r="X94" s="109"/>
      <c r="Y94" s="110"/>
      <c r="AF94" s="109"/>
      <c r="AG94" s="109"/>
    </row>
    <row r="95" spans="4:33">
      <c r="D95" s="109"/>
      <c r="E95" s="110"/>
      <c r="O95" s="109"/>
      <c r="P95" s="110"/>
      <c r="W95" s="111"/>
      <c r="X95" s="109"/>
      <c r="Y95" s="110"/>
      <c r="AF95" s="109"/>
      <c r="AG95" s="109"/>
    </row>
    <row r="96" spans="4:33">
      <c r="D96" s="109"/>
      <c r="E96" s="110"/>
      <c r="O96" s="109"/>
      <c r="P96" s="110"/>
      <c r="W96" s="111"/>
      <c r="X96" s="109"/>
      <c r="Y96" s="110"/>
      <c r="AF96" s="109"/>
      <c r="AG96" s="109"/>
    </row>
    <row r="97" spans="4:33">
      <c r="D97" s="109"/>
      <c r="E97" s="110"/>
      <c r="O97" s="109"/>
      <c r="P97" s="110"/>
      <c r="W97" s="111"/>
      <c r="X97" s="109"/>
      <c r="Y97" s="110"/>
      <c r="AF97" s="109"/>
      <c r="AG97" s="109"/>
    </row>
    <row r="98" spans="4:33">
      <c r="D98" s="109"/>
      <c r="E98" s="110"/>
      <c r="O98" s="109"/>
      <c r="P98" s="110"/>
      <c r="W98" s="111"/>
      <c r="X98" s="109"/>
      <c r="Y98" s="110"/>
      <c r="AF98" s="109"/>
      <c r="AG98" s="109"/>
    </row>
    <row r="99" spans="4:33">
      <c r="D99" s="109"/>
      <c r="E99" s="110"/>
      <c r="O99" s="109"/>
      <c r="P99" s="110"/>
      <c r="W99" s="111"/>
      <c r="X99" s="109"/>
      <c r="Y99" s="110"/>
      <c r="AF99" s="109"/>
      <c r="AG99" s="109"/>
    </row>
    <row r="100" spans="4:33">
      <c r="D100" s="109"/>
      <c r="E100" s="110"/>
      <c r="O100" s="109"/>
      <c r="P100" s="110"/>
      <c r="W100" s="111"/>
      <c r="X100" s="109"/>
      <c r="Y100" s="110"/>
      <c r="AF100" s="109"/>
      <c r="AG100" s="109"/>
    </row>
    <row r="101" spans="4:33">
      <c r="D101" s="109"/>
      <c r="E101" s="110"/>
      <c r="O101" s="109"/>
      <c r="P101" s="110"/>
      <c r="W101" s="111"/>
      <c r="X101" s="109"/>
      <c r="Y101" s="110"/>
      <c r="AF101" s="109"/>
      <c r="AG101" s="109"/>
    </row>
    <row r="102" spans="4:33">
      <c r="D102" s="109"/>
      <c r="E102" s="110"/>
      <c r="O102" s="109"/>
      <c r="P102" s="110"/>
      <c r="W102" s="111"/>
      <c r="X102" s="109"/>
      <c r="Y102" s="110"/>
      <c r="AF102" s="109"/>
      <c r="AG102" s="109"/>
    </row>
    <row r="103" spans="4:33">
      <c r="D103" s="109"/>
      <c r="E103" s="110"/>
      <c r="O103" s="109"/>
      <c r="P103" s="110"/>
      <c r="W103" s="111"/>
      <c r="X103" s="109"/>
      <c r="Y103" s="110"/>
      <c r="AF103" s="109"/>
      <c r="AG103" s="109"/>
    </row>
    <row r="104" spans="4:33">
      <c r="D104" s="109"/>
      <c r="E104" s="110"/>
      <c r="O104" s="109"/>
      <c r="P104" s="110"/>
      <c r="W104" s="111"/>
      <c r="X104" s="109"/>
      <c r="Y104" s="110"/>
      <c r="AF104" s="109"/>
      <c r="AG104" s="109"/>
    </row>
    <row r="105" spans="4:33">
      <c r="D105" s="109"/>
      <c r="E105" s="110"/>
      <c r="O105" s="109"/>
      <c r="P105" s="110"/>
      <c r="W105" s="111"/>
      <c r="X105" s="109"/>
      <c r="Y105" s="110"/>
      <c r="AF105" s="109"/>
      <c r="AG105" s="109"/>
    </row>
    <row r="106" spans="4:33">
      <c r="D106" s="109"/>
      <c r="E106" s="110"/>
      <c r="O106" s="109"/>
      <c r="P106" s="110"/>
      <c r="W106" s="111"/>
      <c r="X106" s="109"/>
      <c r="Y106" s="110"/>
      <c r="AF106" s="109"/>
      <c r="AG106" s="109"/>
    </row>
    <row r="107" spans="4:33">
      <c r="D107" s="109"/>
      <c r="E107" s="110"/>
      <c r="O107" s="109"/>
      <c r="P107" s="110"/>
      <c r="W107" s="111"/>
      <c r="X107" s="109"/>
      <c r="Y107" s="110"/>
      <c r="AF107" s="109"/>
      <c r="AG107" s="109"/>
    </row>
    <row r="108" spans="4:33">
      <c r="D108" s="109"/>
      <c r="E108" s="110"/>
      <c r="O108" s="109"/>
      <c r="P108" s="110"/>
      <c r="W108" s="111"/>
      <c r="X108" s="109"/>
      <c r="Y108" s="110"/>
      <c r="AF108" s="109"/>
      <c r="AG108" s="109"/>
    </row>
    <row r="109" spans="4:33">
      <c r="D109" s="109"/>
      <c r="E109" s="110"/>
      <c r="O109" s="109"/>
      <c r="P109" s="110"/>
      <c r="W109" s="111"/>
      <c r="X109" s="109"/>
      <c r="Y109" s="110"/>
      <c r="AF109" s="109"/>
      <c r="AG109" s="109"/>
    </row>
    <row r="110" spans="4:33">
      <c r="D110" s="109"/>
      <c r="E110" s="110"/>
      <c r="O110" s="109"/>
      <c r="P110" s="110"/>
      <c r="W110" s="111"/>
      <c r="X110" s="109"/>
      <c r="Y110" s="110"/>
      <c r="AF110" s="109"/>
      <c r="AG110" s="109"/>
    </row>
    <row r="111" spans="4:33">
      <c r="D111" s="109"/>
      <c r="E111" s="110"/>
      <c r="O111" s="109"/>
      <c r="P111" s="110"/>
      <c r="W111" s="111"/>
      <c r="X111" s="109"/>
      <c r="Y111" s="110"/>
      <c r="AF111" s="109"/>
      <c r="AG111" s="109"/>
    </row>
    <row r="112" spans="4:33">
      <c r="D112" s="109"/>
      <c r="E112" s="110"/>
      <c r="O112" s="109"/>
      <c r="P112" s="110"/>
      <c r="W112" s="111"/>
      <c r="X112" s="109"/>
      <c r="Y112" s="110"/>
      <c r="AF112" s="109"/>
      <c r="AG112" s="109"/>
    </row>
    <row r="113" spans="4:33">
      <c r="D113" s="109"/>
      <c r="E113" s="110"/>
      <c r="O113" s="109"/>
      <c r="P113" s="110"/>
      <c r="W113" s="111"/>
      <c r="X113" s="109"/>
      <c r="Y113" s="110"/>
      <c r="AF113" s="109"/>
      <c r="AG113" s="109"/>
    </row>
    <row r="114" spans="4:33">
      <c r="D114" s="109"/>
      <c r="E114" s="110"/>
      <c r="O114" s="109"/>
      <c r="P114" s="110"/>
      <c r="W114" s="111"/>
      <c r="X114" s="109"/>
      <c r="Y114" s="110"/>
      <c r="AF114" s="109"/>
      <c r="AG114" s="109"/>
    </row>
    <row r="115" spans="4:33">
      <c r="D115" s="109"/>
      <c r="E115" s="110"/>
      <c r="O115" s="109"/>
      <c r="P115" s="110"/>
      <c r="W115" s="111"/>
      <c r="X115" s="109"/>
      <c r="Y115" s="110"/>
      <c r="AF115" s="109"/>
      <c r="AG115" s="109"/>
    </row>
    <row r="116" spans="4:33">
      <c r="D116" s="109"/>
      <c r="E116" s="110"/>
      <c r="O116" s="109"/>
      <c r="P116" s="110"/>
      <c r="W116" s="111"/>
      <c r="X116" s="109"/>
      <c r="Y116" s="110"/>
      <c r="AF116" s="109"/>
      <c r="AG116" s="109"/>
    </row>
    <row r="117" spans="4:33">
      <c r="D117" s="109"/>
      <c r="E117" s="110"/>
      <c r="O117" s="109"/>
      <c r="P117" s="110"/>
      <c r="W117" s="111"/>
      <c r="X117" s="109"/>
      <c r="Y117" s="110"/>
      <c r="AF117" s="109"/>
      <c r="AG117" s="109"/>
    </row>
    <row r="118" spans="4:33">
      <c r="D118" s="109"/>
      <c r="E118" s="110"/>
      <c r="O118" s="109"/>
      <c r="P118" s="110"/>
      <c r="W118" s="111"/>
      <c r="X118" s="109"/>
      <c r="Y118" s="110"/>
      <c r="AF118" s="109"/>
      <c r="AG118" s="109"/>
    </row>
    <row r="119" spans="4:33">
      <c r="D119" s="109"/>
      <c r="E119" s="110"/>
      <c r="O119" s="109"/>
      <c r="P119" s="110"/>
      <c r="W119" s="111"/>
      <c r="X119" s="109"/>
      <c r="Y119" s="110"/>
      <c r="AF119" s="109"/>
      <c r="AG119" s="109"/>
    </row>
    <row r="120" spans="4:33">
      <c r="D120" s="109"/>
      <c r="E120" s="110"/>
      <c r="O120" s="109"/>
      <c r="P120" s="110"/>
      <c r="W120" s="111"/>
      <c r="X120" s="109"/>
      <c r="Y120" s="110"/>
      <c r="AF120" s="109"/>
      <c r="AG120" s="109"/>
    </row>
    <row r="121" spans="4:33">
      <c r="D121" s="109"/>
      <c r="E121" s="110"/>
      <c r="O121" s="109"/>
      <c r="P121" s="110"/>
      <c r="W121" s="111"/>
      <c r="X121" s="109"/>
      <c r="Y121" s="110"/>
      <c r="AF121" s="109"/>
      <c r="AG121" s="109"/>
    </row>
    <row r="122" spans="4:33">
      <c r="D122" s="109"/>
      <c r="E122" s="110"/>
      <c r="O122" s="109"/>
      <c r="P122" s="110"/>
      <c r="W122" s="111"/>
      <c r="X122" s="109"/>
      <c r="Y122" s="110"/>
      <c r="AF122" s="109"/>
      <c r="AG122" s="109"/>
    </row>
    <row r="123" spans="4:33">
      <c r="D123" s="109"/>
      <c r="E123" s="110"/>
      <c r="O123" s="109"/>
      <c r="P123" s="110"/>
      <c r="W123" s="111"/>
      <c r="X123" s="109"/>
      <c r="Y123" s="110"/>
      <c r="AF123" s="109"/>
      <c r="AG123" s="109"/>
    </row>
    <row r="124" spans="4:33">
      <c r="D124" s="109"/>
      <c r="E124" s="110"/>
      <c r="O124" s="109"/>
      <c r="P124" s="110"/>
      <c r="W124" s="111"/>
      <c r="X124" s="109"/>
      <c r="Y124" s="110"/>
      <c r="AF124" s="109"/>
      <c r="AG124" s="109"/>
    </row>
    <row r="125" spans="4:33">
      <c r="D125" s="109"/>
      <c r="E125" s="110"/>
      <c r="O125" s="109"/>
      <c r="P125" s="110"/>
      <c r="W125" s="111"/>
      <c r="X125" s="109"/>
      <c r="Y125" s="110"/>
      <c r="AF125" s="109"/>
      <c r="AG125" s="109"/>
    </row>
    <row r="126" spans="4:33">
      <c r="D126" s="109"/>
      <c r="E126" s="110"/>
      <c r="O126" s="109"/>
      <c r="P126" s="110"/>
      <c r="W126" s="111"/>
      <c r="X126" s="109"/>
      <c r="Y126" s="110"/>
      <c r="AF126" s="109"/>
      <c r="AG126" s="109"/>
    </row>
    <row r="127" spans="4:33">
      <c r="D127" s="109"/>
      <c r="E127" s="110"/>
      <c r="O127" s="109"/>
      <c r="P127" s="110"/>
      <c r="W127" s="111"/>
      <c r="X127" s="109"/>
      <c r="Y127" s="110"/>
      <c r="AF127" s="109"/>
      <c r="AG127" s="109"/>
    </row>
    <row r="128" spans="4:33">
      <c r="D128" s="109"/>
      <c r="E128" s="110"/>
      <c r="O128" s="109"/>
      <c r="P128" s="110"/>
      <c r="W128" s="111"/>
      <c r="X128" s="109"/>
      <c r="Y128" s="110"/>
      <c r="AF128" s="109"/>
      <c r="AG128" s="109"/>
    </row>
    <row r="129" spans="4:33">
      <c r="D129" s="109"/>
      <c r="E129" s="110"/>
      <c r="O129" s="109"/>
      <c r="P129" s="110"/>
      <c r="W129" s="111"/>
      <c r="X129" s="109"/>
      <c r="Y129" s="110"/>
      <c r="AF129" s="109"/>
      <c r="AG129" s="109"/>
    </row>
    <row r="130" spans="4:33">
      <c r="D130" s="109"/>
      <c r="E130" s="110"/>
      <c r="O130" s="109"/>
      <c r="P130" s="110"/>
      <c r="W130" s="111"/>
      <c r="X130" s="109"/>
      <c r="Y130" s="110"/>
      <c r="AF130" s="109"/>
      <c r="AG130" s="109"/>
    </row>
    <row r="131" spans="4:33">
      <c r="D131" s="109"/>
      <c r="E131" s="110"/>
      <c r="O131" s="109"/>
      <c r="P131" s="110"/>
      <c r="W131" s="111"/>
      <c r="X131" s="109"/>
      <c r="Y131" s="110"/>
      <c r="AF131" s="109"/>
      <c r="AG131" s="109"/>
    </row>
    <row r="132" spans="4:33">
      <c r="D132" s="109"/>
      <c r="E132" s="110"/>
      <c r="O132" s="109"/>
      <c r="P132" s="110"/>
      <c r="W132" s="111"/>
      <c r="X132" s="109"/>
      <c r="Y132" s="110"/>
      <c r="AF132" s="109"/>
      <c r="AG132" s="109"/>
    </row>
    <row r="133" spans="4:33">
      <c r="D133" s="109"/>
      <c r="E133" s="110"/>
      <c r="O133" s="109"/>
      <c r="P133" s="110"/>
      <c r="W133" s="111"/>
      <c r="X133" s="109"/>
      <c r="Y133" s="110"/>
      <c r="AF133" s="109"/>
      <c r="AG133" s="109"/>
    </row>
    <row r="134" spans="4:33">
      <c r="D134" s="109"/>
      <c r="E134" s="110"/>
      <c r="O134" s="109"/>
      <c r="P134" s="110"/>
      <c r="W134" s="111"/>
      <c r="X134" s="109"/>
      <c r="Y134" s="110"/>
      <c r="AF134" s="109"/>
      <c r="AG134" s="109"/>
    </row>
    <row r="135" spans="4:33">
      <c r="D135" s="109"/>
      <c r="E135" s="110"/>
      <c r="O135" s="109"/>
      <c r="P135" s="110"/>
      <c r="W135" s="111"/>
      <c r="X135" s="109"/>
      <c r="Y135" s="110"/>
      <c r="AF135" s="109"/>
      <c r="AG135" s="109"/>
    </row>
    <row r="136" spans="4:33">
      <c r="D136" s="109"/>
      <c r="E136" s="110"/>
      <c r="O136" s="109"/>
      <c r="P136" s="110"/>
      <c r="W136" s="111"/>
      <c r="X136" s="109"/>
      <c r="Y136" s="110"/>
      <c r="AF136" s="109"/>
      <c r="AG136" s="109"/>
    </row>
    <row r="137" spans="4:33">
      <c r="D137" s="109"/>
      <c r="E137" s="110"/>
      <c r="O137" s="109"/>
      <c r="P137" s="110"/>
      <c r="W137" s="111"/>
      <c r="X137" s="109"/>
      <c r="Y137" s="110"/>
      <c r="AF137" s="109"/>
      <c r="AG137" s="109"/>
    </row>
    <row r="138" spans="4:33">
      <c r="D138" s="109"/>
      <c r="E138" s="110"/>
      <c r="O138" s="109"/>
      <c r="P138" s="110"/>
      <c r="W138" s="111"/>
      <c r="X138" s="109"/>
      <c r="Y138" s="110"/>
      <c r="AF138" s="109"/>
      <c r="AG138" s="109"/>
    </row>
    <row r="139" spans="4:33">
      <c r="D139" s="109"/>
      <c r="E139" s="110"/>
      <c r="O139" s="109"/>
      <c r="P139" s="110"/>
      <c r="W139" s="111"/>
      <c r="X139" s="109"/>
      <c r="Y139" s="110"/>
      <c r="AF139" s="109"/>
      <c r="AG139" s="109"/>
    </row>
    <row r="140" spans="4:33">
      <c r="D140" s="109"/>
      <c r="E140" s="110"/>
      <c r="O140" s="109"/>
      <c r="P140" s="110"/>
      <c r="W140" s="111"/>
      <c r="X140" s="109"/>
      <c r="Y140" s="110"/>
      <c r="AF140" s="109"/>
      <c r="AG140" s="109"/>
    </row>
    <row r="141" spans="4:33">
      <c r="D141" s="109"/>
      <c r="E141" s="110"/>
      <c r="O141" s="109"/>
      <c r="P141" s="110"/>
      <c r="W141" s="111"/>
      <c r="X141" s="109"/>
      <c r="Y141" s="110"/>
      <c r="AF141" s="109"/>
      <c r="AG141" s="109"/>
    </row>
    <row r="142" spans="4:33">
      <c r="D142" s="109"/>
      <c r="E142" s="110"/>
      <c r="O142" s="109"/>
      <c r="P142" s="110"/>
      <c r="W142" s="111"/>
      <c r="X142" s="109"/>
      <c r="Y142" s="110"/>
      <c r="AF142" s="109"/>
      <c r="AG142" s="109"/>
    </row>
    <row r="143" spans="4:33">
      <c r="D143" s="109"/>
      <c r="E143" s="110"/>
      <c r="O143" s="109"/>
      <c r="P143" s="110"/>
      <c r="W143" s="111"/>
      <c r="X143" s="109"/>
      <c r="Y143" s="110"/>
      <c r="AF143" s="109"/>
      <c r="AG143" s="109"/>
    </row>
    <row r="144" spans="4:33">
      <c r="D144" s="109"/>
      <c r="E144" s="110"/>
      <c r="O144" s="109"/>
      <c r="P144" s="110"/>
      <c r="W144" s="111"/>
      <c r="X144" s="109"/>
      <c r="Y144" s="110"/>
      <c r="AF144" s="109"/>
      <c r="AG144" s="109"/>
    </row>
    <row r="145" spans="4:33">
      <c r="D145" s="109"/>
      <c r="E145" s="110"/>
      <c r="O145" s="109"/>
      <c r="P145" s="110"/>
      <c r="W145" s="111"/>
      <c r="X145" s="109"/>
      <c r="Y145" s="110"/>
      <c r="AF145" s="109"/>
      <c r="AG145" s="109"/>
    </row>
    <row r="146" spans="4:33">
      <c r="D146" s="109"/>
      <c r="E146" s="110"/>
      <c r="O146" s="109"/>
      <c r="P146" s="110"/>
      <c r="W146" s="111"/>
      <c r="X146" s="109"/>
      <c r="Y146" s="110"/>
      <c r="AF146" s="109"/>
      <c r="AG146" s="109"/>
    </row>
    <row r="147" spans="4:33">
      <c r="D147" s="109"/>
      <c r="E147" s="110"/>
      <c r="O147" s="109"/>
      <c r="P147" s="110"/>
      <c r="W147" s="111"/>
      <c r="X147" s="109"/>
      <c r="Y147" s="110"/>
      <c r="AF147" s="109"/>
      <c r="AG147" s="109"/>
    </row>
    <row r="148" spans="4:33">
      <c r="D148" s="109"/>
      <c r="E148" s="110"/>
      <c r="O148" s="109"/>
      <c r="P148" s="110"/>
      <c r="W148" s="111"/>
      <c r="X148" s="109"/>
      <c r="Y148" s="110"/>
      <c r="AF148" s="109"/>
      <c r="AG148" s="109"/>
    </row>
    <row r="149" spans="4:33">
      <c r="D149" s="109"/>
      <c r="E149" s="110"/>
      <c r="O149" s="109"/>
      <c r="P149" s="110"/>
      <c r="W149" s="111"/>
      <c r="X149" s="109"/>
      <c r="Y149" s="110"/>
      <c r="AF149" s="109"/>
      <c r="AG149" s="109"/>
    </row>
    <row r="150" spans="4:33">
      <c r="D150" s="109"/>
      <c r="E150" s="110"/>
      <c r="O150" s="109"/>
      <c r="P150" s="110"/>
      <c r="W150" s="111"/>
      <c r="X150" s="109"/>
      <c r="Y150" s="110"/>
      <c r="AF150" s="109"/>
      <c r="AG150" s="109"/>
    </row>
    <row r="151" spans="4:33">
      <c r="D151" s="109"/>
      <c r="E151" s="110"/>
      <c r="O151" s="109"/>
      <c r="P151" s="110"/>
      <c r="W151" s="111"/>
      <c r="X151" s="109"/>
      <c r="Y151" s="110"/>
      <c r="AF151" s="109"/>
      <c r="AG151" s="109"/>
    </row>
    <row r="152" spans="4:33">
      <c r="D152" s="109"/>
      <c r="E152" s="110"/>
      <c r="O152" s="109"/>
      <c r="P152" s="110"/>
      <c r="W152" s="111"/>
      <c r="X152" s="109"/>
      <c r="Y152" s="110"/>
      <c r="AF152" s="109"/>
      <c r="AG152" s="109"/>
    </row>
    <row r="153" spans="4:33">
      <c r="D153" s="109"/>
      <c r="E153" s="110"/>
      <c r="O153" s="109"/>
      <c r="P153" s="110"/>
      <c r="W153" s="111"/>
      <c r="X153" s="109"/>
      <c r="Y153" s="110"/>
      <c r="AF153" s="109"/>
      <c r="AG153" s="109"/>
    </row>
    <row r="154" spans="4:33">
      <c r="D154" s="109"/>
      <c r="E154" s="110"/>
      <c r="O154" s="109"/>
      <c r="P154" s="110"/>
      <c r="W154" s="111"/>
      <c r="X154" s="109"/>
      <c r="Y154" s="110"/>
      <c r="AF154" s="109"/>
      <c r="AG154" s="109"/>
    </row>
    <row r="155" spans="4:33">
      <c r="D155" s="109"/>
      <c r="E155" s="110"/>
      <c r="O155" s="109"/>
      <c r="P155" s="110"/>
      <c r="W155" s="111"/>
      <c r="X155" s="109"/>
      <c r="Y155" s="110"/>
      <c r="AF155" s="109"/>
      <c r="AG155" s="109"/>
    </row>
    <row r="156" spans="4:33">
      <c r="D156" s="109"/>
      <c r="E156" s="110"/>
      <c r="O156" s="109"/>
      <c r="P156" s="110"/>
      <c r="W156" s="111"/>
      <c r="X156" s="109"/>
      <c r="Y156" s="110"/>
      <c r="AF156" s="109"/>
      <c r="AG156" s="109"/>
    </row>
    <row r="157" spans="4:33">
      <c r="D157" s="109"/>
      <c r="E157" s="110"/>
      <c r="O157" s="109"/>
      <c r="P157" s="110"/>
      <c r="W157" s="111"/>
      <c r="X157" s="109"/>
      <c r="Y157" s="110"/>
      <c r="AF157" s="109"/>
      <c r="AG157" s="109"/>
    </row>
    <row r="158" spans="4:33">
      <c r="D158" s="109"/>
      <c r="E158" s="110"/>
      <c r="O158" s="109"/>
      <c r="P158" s="110"/>
      <c r="W158" s="111"/>
      <c r="X158" s="109"/>
      <c r="Y158" s="110"/>
      <c r="AF158" s="109"/>
      <c r="AG158" s="109"/>
    </row>
    <row r="159" spans="4:33">
      <c r="D159" s="109"/>
      <c r="E159" s="110"/>
      <c r="O159" s="109"/>
      <c r="P159" s="110"/>
      <c r="W159" s="111"/>
      <c r="X159" s="109"/>
      <c r="Y159" s="110"/>
      <c r="AF159" s="109"/>
      <c r="AG159" s="109"/>
    </row>
    <row r="160" spans="4:33">
      <c r="D160" s="109"/>
      <c r="E160" s="110"/>
      <c r="O160" s="109"/>
      <c r="P160" s="110"/>
      <c r="W160" s="111"/>
      <c r="X160" s="109"/>
      <c r="Y160" s="110"/>
      <c r="AF160" s="109"/>
      <c r="AG160" s="109"/>
    </row>
    <row r="161" spans="4:33">
      <c r="D161" s="109"/>
      <c r="E161" s="110"/>
      <c r="O161" s="109"/>
      <c r="P161" s="110"/>
      <c r="W161" s="111"/>
      <c r="X161" s="109"/>
      <c r="Y161" s="110"/>
      <c r="AF161" s="109"/>
      <c r="AG161" s="109"/>
    </row>
    <row r="162" spans="4:33">
      <c r="D162" s="109"/>
      <c r="E162" s="110"/>
      <c r="O162" s="109"/>
      <c r="P162" s="110"/>
      <c r="W162" s="111"/>
      <c r="X162" s="109"/>
      <c r="Y162" s="110"/>
      <c r="AF162" s="109"/>
      <c r="AG162" s="109"/>
    </row>
    <row r="163" spans="4:33">
      <c r="D163" s="109"/>
      <c r="E163" s="110"/>
      <c r="O163" s="109"/>
      <c r="P163" s="110"/>
      <c r="W163" s="111"/>
      <c r="X163" s="109"/>
      <c r="Y163" s="110"/>
      <c r="AF163" s="109"/>
      <c r="AG163" s="109"/>
    </row>
    <row r="164" spans="4:33">
      <c r="D164" s="109"/>
      <c r="E164" s="110"/>
      <c r="O164" s="109"/>
      <c r="P164" s="110"/>
      <c r="W164" s="111"/>
      <c r="X164" s="109"/>
      <c r="Y164" s="110"/>
      <c r="AF164" s="109"/>
      <c r="AG164" s="109"/>
    </row>
    <row r="165" spans="4:33">
      <c r="D165" s="109"/>
      <c r="E165" s="110"/>
      <c r="O165" s="109"/>
      <c r="P165" s="110"/>
      <c r="W165" s="111"/>
      <c r="X165" s="109"/>
      <c r="Y165" s="110"/>
      <c r="AF165" s="109"/>
      <c r="AG165" s="109"/>
    </row>
    <row r="166" spans="4:33">
      <c r="D166" s="109"/>
      <c r="E166" s="110"/>
      <c r="O166" s="109"/>
      <c r="P166" s="110"/>
      <c r="W166" s="111"/>
      <c r="X166" s="109"/>
      <c r="Y166" s="110"/>
      <c r="AF166" s="109"/>
      <c r="AG166" s="109"/>
    </row>
    <row r="167" spans="4:33">
      <c r="D167" s="109"/>
      <c r="E167" s="110"/>
      <c r="O167" s="109"/>
      <c r="P167" s="110"/>
      <c r="W167" s="111"/>
      <c r="X167" s="109"/>
      <c r="Y167" s="110"/>
      <c r="AF167" s="109"/>
      <c r="AG167" s="109"/>
    </row>
    <row r="168" spans="4:33">
      <c r="D168" s="109"/>
      <c r="E168" s="110"/>
      <c r="O168" s="109"/>
      <c r="P168" s="110"/>
      <c r="W168" s="111"/>
      <c r="X168" s="109"/>
      <c r="Y168" s="110"/>
      <c r="AF168" s="109"/>
      <c r="AG168" s="109"/>
    </row>
    <row r="169" spans="4:33">
      <c r="D169" s="109"/>
      <c r="E169" s="110"/>
      <c r="O169" s="109"/>
      <c r="P169" s="110"/>
      <c r="W169" s="111"/>
      <c r="X169" s="109"/>
      <c r="Y169" s="110"/>
      <c r="AF169" s="109"/>
      <c r="AG169" s="109"/>
    </row>
    <row r="170" spans="4:33">
      <c r="D170" s="109"/>
      <c r="E170" s="110"/>
      <c r="O170" s="109"/>
      <c r="P170" s="110"/>
      <c r="W170" s="111"/>
      <c r="X170" s="109"/>
      <c r="Y170" s="110"/>
      <c r="AF170" s="109"/>
      <c r="AG170" s="109"/>
    </row>
    <row r="171" spans="4:33">
      <c r="D171" s="109"/>
      <c r="E171" s="110"/>
      <c r="O171" s="109"/>
      <c r="P171" s="110"/>
      <c r="W171" s="111"/>
      <c r="X171" s="109"/>
      <c r="Y171" s="110"/>
      <c r="AF171" s="109"/>
      <c r="AG171" s="109"/>
    </row>
    <row r="172" spans="4:33">
      <c r="D172" s="109"/>
      <c r="E172" s="110"/>
      <c r="O172" s="109"/>
      <c r="P172" s="110"/>
      <c r="W172" s="111"/>
      <c r="X172" s="109"/>
      <c r="Y172" s="110"/>
      <c r="AF172" s="109"/>
      <c r="AG172" s="109"/>
    </row>
    <row r="173" spans="4:33">
      <c r="D173" s="109"/>
      <c r="E173" s="110"/>
      <c r="O173" s="109"/>
      <c r="P173" s="110"/>
      <c r="W173" s="111"/>
      <c r="X173" s="109"/>
      <c r="Y173" s="110"/>
      <c r="AF173" s="109"/>
      <c r="AG173" s="109"/>
    </row>
    <row r="174" spans="4:33">
      <c r="D174" s="109"/>
      <c r="E174" s="110"/>
      <c r="O174" s="109"/>
      <c r="P174" s="110"/>
      <c r="W174" s="111"/>
      <c r="X174" s="109"/>
      <c r="Y174" s="110"/>
      <c r="AF174" s="109"/>
      <c r="AG174" s="109"/>
    </row>
    <row r="175" spans="4:33">
      <c r="D175" s="109"/>
      <c r="E175" s="110"/>
      <c r="O175" s="109"/>
      <c r="P175" s="110"/>
      <c r="W175" s="111"/>
      <c r="X175" s="109"/>
      <c r="Y175" s="110"/>
      <c r="AF175" s="109"/>
      <c r="AG175" s="109"/>
    </row>
    <row r="176" spans="4:33">
      <c r="D176" s="109"/>
      <c r="E176" s="110"/>
      <c r="O176" s="109"/>
      <c r="P176" s="110"/>
      <c r="W176" s="111"/>
      <c r="X176" s="109"/>
      <c r="Y176" s="110"/>
      <c r="AF176" s="109"/>
      <c r="AG176" s="109"/>
    </row>
    <row r="177" spans="4:33">
      <c r="D177" s="109"/>
      <c r="E177" s="110"/>
      <c r="O177" s="109"/>
      <c r="P177" s="110"/>
      <c r="W177" s="111"/>
      <c r="X177" s="109"/>
      <c r="Y177" s="110"/>
      <c r="AF177" s="109"/>
      <c r="AG177" s="109"/>
    </row>
    <row r="178" spans="4:33">
      <c r="D178" s="109"/>
      <c r="E178" s="110"/>
      <c r="O178" s="109"/>
      <c r="P178" s="110"/>
      <c r="W178" s="111"/>
      <c r="X178" s="109"/>
      <c r="Y178" s="110"/>
      <c r="AF178" s="109"/>
      <c r="AG178" s="109"/>
    </row>
    <row r="179" spans="4:33">
      <c r="D179" s="109"/>
      <c r="E179" s="110"/>
      <c r="O179" s="109"/>
      <c r="P179" s="110"/>
      <c r="W179" s="111"/>
      <c r="X179" s="109"/>
      <c r="Y179" s="110"/>
      <c r="AF179" s="109"/>
      <c r="AG179" s="109"/>
    </row>
    <row r="180" spans="4:33">
      <c r="D180" s="109"/>
      <c r="E180" s="110"/>
      <c r="O180" s="109"/>
      <c r="P180" s="110"/>
      <c r="W180" s="111"/>
      <c r="X180" s="109"/>
      <c r="Y180" s="110"/>
      <c r="AF180" s="109"/>
      <c r="AG180" s="109"/>
    </row>
    <row r="181" spans="4:33">
      <c r="D181" s="109"/>
      <c r="E181" s="110"/>
      <c r="O181" s="109"/>
      <c r="P181" s="110"/>
      <c r="W181" s="111"/>
      <c r="X181" s="109"/>
      <c r="Y181" s="110"/>
      <c r="AF181" s="109"/>
      <c r="AG181" s="109"/>
    </row>
    <row r="182" spans="4:33">
      <c r="D182" s="109"/>
      <c r="E182" s="110"/>
      <c r="O182" s="109"/>
      <c r="P182" s="110"/>
      <c r="W182" s="111"/>
      <c r="X182" s="109"/>
      <c r="Y182" s="110"/>
      <c r="AF182" s="109"/>
      <c r="AG182" s="109"/>
    </row>
    <row r="183" spans="4:33">
      <c r="D183" s="109"/>
      <c r="E183" s="110"/>
      <c r="O183" s="109"/>
      <c r="P183" s="110"/>
      <c r="W183" s="111"/>
      <c r="X183" s="109"/>
      <c r="Y183" s="110"/>
      <c r="AF183" s="109"/>
      <c r="AG183" s="109"/>
    </row>
    <row r="184" spans="4:33">
      <c r="D184" s="109"/>
      <c r="E184" s="110"/>
      <c r="O184" s="109"/>
      <c r="P184" s="110"/>
      <c r="W184" s="111"/>
      <c r="X184" s="109"/>
      <c r="Y184" s="110"/>
      <c r="AF184" s="109"/>
      <c r="AG184" s="109"/>
    </row>
    <row r="185" spans="4:33">
      <c r="D185" s="109"/>
      <c r="E185" s="110"/>
      <c r="O185" s="109"/>
      <c r="P185" s="110"/>
      <c r="W185" s="111"/>
      <c r="X185" s="109"/>
      <c r="Y185" s="110"/>
      <c r="AF185" s="109"/>
      <c r="AG185" s="109"/>
    </row>
    <row r="186" spans="4:33">
      <c r="D186" s="109"/>
      <c r="E186" s="110"/>
      <c r="O186" s="109"/>
      <c r="P186" s="110"/>
      <c r="W186" s="111"/>
      <c r="X186" s="109"/>
      <c r="Y186" s="110"/>
      <c r="AF186" s="109"/>
      <c r="AG186" s="109"/>
    </row>
    <row r="187" spans="4:33">
      <c r="D187" s="109"/>
      <c r="E187" s="110"/>
      <c r="O187" s="109"/>
      <c r="P187" s="110"/>
      <c r="W187" s="111"/>
      <c r="X187" s="109"/>
      <c r="Y187" s="110"/>
      <c r="AF187" s="109"/>
      <c r="AG187" s="109"/>
    </row>
    <row r="188" spans="4:33">
      <c r="D188" s="109"/>
      <c r="E188" s="110"/>
      <c r="O188" s="109"/>
      <c r="P188" s="110"/>
      <c r="W188" s="111"/>
      <c r="X188" s="109"/>
      <c r="Y188" s="110"/>
      <c r="AF188" s="109"/>
      <c r="AG188" s="109"/>
    </row>
    <row r="189" spans="4:33">
      <c r="D189" s="109"/>
      <c r="E189" s="110"/>
      <c r="O189" s="109"/>
      <c r="P189" s="110"/>
      <c r="W189" s="111"/>
      <c r="X189" s="109"/>
      <c r="Y189" s="110"/>
      <c r="AF189" s="109"/>
      <c r="AG189" s="109"/>
    </row>
    <row r="190" spans="4:33">
      <c r="D190" s="109"/>
      <c r="E190" s="110"/>
      <c r="O190" s="109"/>
      <c r="P190" s="110"/>
      <c r="W190" s="111"/>
      <c r="X190" s="109"/>
      <c r="Y190" s="110"/>
      <c r="AF190" s="109"/>
      <c r="AG190" s="109"/>
    </row>
    <row r="191" spans="4:33">
      <c r="D191" s="109"/>
      <c r="E191" s="110"/>
      <c r="O191" s="109"/>
      <c r="P191" s="110"/>
      <c r="W191" s="111"/>
      <c r="X191" s="109"/>
      <c r="Y191" s="110"/>
      <c r="AF191" s="109"/>
      <c r="AG191" s="109"/>
    </row>
    <row r="192" spans="4:33">
      <c r="D192" s="109"/>
      <c r="E192" s="110"/>
      <c r="O192" s="109"/>
      <c r="P192" s="110"/>
      <c r="W192" s="111"/>
      <c r="X192" s="109"/>
      <c r="Y192" s="110"/>
      <c r="AF192" s="109"/>
      <c r="AG192" s="109"/>
    </row>
    <row r="193" spans="4:33">
      <c r="D193" s="109"/>
      <c r="E193" s="110"/>
      <c r="O193" s="109"/>
      <c r="P193" s="110"/>
      <c r="W193" s="111"/>
      <c r="X193" s="109"/>
      <c r="Y193" s="110"/>
      <c r="AF193" s="109"/>
      <c r="AG193" s="109"/>
    </row>
    <row r="194" spans="4:33">
      <c r="D194" s="109"/>
      <c r="E194" s="110"/>
      <c r="O194" s="109"/>
      <c r="P194" s="110"/>
      <c r="W194" s="111"/>
      <c r="X194" s="109"/>
      <c r="Y194" s="110"/>
      <c r="AF194" s="109"/>
      <c r="AG194" s="109"/>
    </row>
    <row r="195" spans="4:33">
      <c r="D195" s="109"/>
      <c r="E195" s="110"/>
      <c r="O195" s="109"/>
      <c r="P195" s="110"/>
      <c r="W195" s="111"/>
      <c r="X195" s="109"/>
      <c r="Y195" s="110"/>
      <c r="AF195" s="109"/>
      <c r="AG195" s="109"/>
    </row>
    <row r="196" spans="4:33">
      <c r="D196" s="109"/>
      <c r="E196" s="110"/>
      <c r="O196" s="109"/>
      <c r="P196" s="110"/>
      <c r="W196" s="111"/>
      <c r="X196" s="109"/>
      <c r="Y196" s="110"/>
      <c r="AF196" s="109"/>
      <c r="AG196" s="109"/>
    </row>
    <row r="197" spans="4:33">
      <c r="D197" s="109"/>
      <c r="E197" s="110"/>
      <c r="O197" s="109"/>
      <c r="P197" s="110"/>
      <c r="W197" s="111"/>
      <c r="X197" s="109"/>
      <c r="Y197" s="110"/>
      <c r="AF197" s="109"/>
      <c r="AG197" s="109"/>
    </row>
    <row r="198" spans="4:33">
      <c r="D198" s="109"/>
      <c r="E198" s="110"/>
      <c r="O198" s="109"/>
      <c r="P198" s="110"/>
      <c r="W198" s="111"/>
      <c r="X198" s="109"/>
      <c r="Y198" s="110"/>
      <c r="AF198" s="109"/>
      <c r="AG198" s="109"/>
    </row>
    <row r="199" spans="4:33">
      <c r="D199" s="109"/>
      <c r="E199" s="110"/>
      <c r="O199" s="109"/>
      <c r="P199" s="110"/>
      <c r="W199" s="111"/>
      <c r="X199" s="109"/>
      <c r="Y199" s="110"/>
      <c r="AF199" s="109"/>
      <c r="AG199" s="109"/>
    </row>
    <row r="200" spans="4:33">
      <c r="D200" s="109"/>
      <c r="E200" s="110"/>
      <c r="O200" s="109"/>
      <c r="P200" s="110"/>
      <c r="W200" s="111"/>
      <c r="X200" s="109"/>
      <c r="Y200" s="110"/>
      <c r="AF200" s="109"/>
      <c r="AG200" s="109"/>
    </row>
    <row r="201" spans="4:33">
      <c r="D201" s="109"/>
      <c r="E201" s="110"/>
      <c r="O201" s="109"/>
      <c r="P201" s="110"/>
      <c r="W201" s="111"/>
      <c r="X201" s="109"/>
      <c r="Y201" s="110"/>
      <c r="AF201" s="109"/>
      <c r="AG201" s="109"/>
    </row>
    <row r="202" spans="4:33">
      <c r="D202" s="109"/>
      <c r="E202" s="110"/>
      <c r="O202" s="109"/>
      <c r="P202" s="110"/>
      <c r="W202" s="111"/>
      <c r="X202" s="109"/>
      <c r="Y202" s="110"/>
      <c r="AF202" s="109"/>
      <c r="AG202" s="109"/>
    </row>
    <row r="203" spans="4:33">
      <c r="D203" s="109"/>
      <c r="E203" s="110"/>
      <c r="O203" s="109"/>
      <c r="P203" s="110"/>
      <c r="W203" s="111"/>
      <c r="X203" s="109"/>
      <c r="Y203" s="110"/>
      <c r="AF203" s="109"/>
      <c r="AG203" s="109"/>
    </row>
    <row r="204" spans="4:33">
      <c r="D204" s="109"/>
      <c r="E204" s="110"/>
      <c r="O204" s="109"/>
      <c r="P204" s="110"/>
      <c r="W204" s="111"/>
      <c r="X204" s="109"/>
      <c r="Y204" s="110"/>
      <c r="AF204" s="109"/>
      <c r="AG204" s="109"/>
    </row>
    <row r="205" spans="4:33">
      <c r="D205" s="109"/>
      <c r="E205" s="110"/>
      <c r="O205" s="109"/>
      <c r="P205" s="110"/>
      <c r="W205" s="111"/>
      <c r="X205" s="109"/>
      <c r="Y205" s="110"/>
      <c r="AF205" s="109"/>
      <c r="AG205" s="109"/>
    </row>
    <row r="206" spans="4:33">
      <c r="D206" s="109"/>
      <c r="E206" s="110"/>
      <c r="O206" s="109"/>
      <c r="P206" s="110"/>
      <c r="W206" s="111"/>
      <c r="X206" s="109"/>
      <c r="Y206" s="110"/>
      <c r="AF206" s="109"/>
      <c r="AG206" s="109"/>
    </row>
    <row r="207" spans="4:33">
      <c r="D207" s="109"/>
      <c r="E207" s="110"/>
      <c r="O207" s="109"/>
      <c r="P207" s="110"/>
      <c r="W207" s="111"/>
      <c r="X207" s="109"/>
      <c r="Y207" s="110"/>
      <c r="AF207" s="109"/>
      <c r="AG207" s="109"/>
    </row>
    <row r="208" spans="4:33">
      <c r="D208" s="109"/>
      <c r="E208" s="110"/>
      <c r="O208" s="109"/>
      <c r="P208" s="110"/>
      <c r="W208" s="111"/>
      <c r="X208" s="109"/>
      <c r="Y208" s="110"/>
      <c r="AF208" s="109"/>
      <c r="AG208" s="109"/>
    </row>
    <row r="209" spans="4:33">
      <c r="D209" s="109"/>
      <c r="E209" s="110"/>
      <c r="O209" s="109"/>
      <c r="P209" s="110"/>
      <c r="W209" s="111"/>
      <c r="X209" s="109"/>
      <c r="Y209" s="110"/>
      <c r="AF209" s="109"/>
      <c r="AG209" s="109"/>
    </row>
    <row r="210" spans="4:33">
      <c r="D210" s="109"/>
      <c r="E210" s="110"/>
      <c r="O210" s="109"/>
      <c r="P210" s="110"/>
      <c r="W210" s="111"/>
      <c r="X210" s="109"/>
      <c r="Y210" s="110"/>
      <c r="AF210" s="109"/>
      <c r="AG210" s="109"/>
    </row>
    <row r="211" spans="4:33">
      <c r="D211" s="109"/>
      <c r="E211" s="110"/>
      <c r="O211" s="109"/>
      <c r="P211" s="110"/>
      <c r="W211" s="111"/>
      <c r="X211" s="109"/>
      <c r="Y211" s="110"/>
      <c r="AF211" s="109"/>
      <c r="AG211" s="109"/>
    </row>
    <row r="212" spans="4:33">
      <c r="D212" s="109"/>
      <c r="E212" s="110"/>
      <c r="O212" s="109"/>
      <c r="P212" s="110"/>
      <c r="W212" s="111"/>
      <c r="X212" s="109"/>
      <c r="Y212" s="110"/>
      <c r="AF212" s="109"/>
      <c r="AG212" s="109"/>
    </row>
    <row r="213" spans="4:33">
      <c r="D213" s="109"/>
      <c r="E213" s="110"/>
      <c r="O213" s="109"/>
      <c r="P213" s="110"/>
      <c r="W213" s="111"/>
      <c r="X213" s="109"/>
      <c r="Y213" s="110"/>
      <c r="AF213" s="109"/>
      <c r="AG213" s="109"/>
    </row>
    <row r="214" spans="4:33">
      <c r="D214" s="109"/>
      <c r="E214" s="110"/>
      <c r="O214" s="109"/>
      <c r="P214" s="110"/>
      <c r="W214" s="111"/>
      <c r="X214" s="109"/>
      <c r="Y214" s="110"/>
      <c r="AF214" s="109"/>
      <c r="AG214" s="109"/>
    </row>
    <row r="215" spans="4:33">
      <c r="D215" s="109"/>
      <c r="E215" s="110"/>
      <c r="O215" s="109"/>
      <c r="P215" s="110"/>
      <c r="W215" s="111"/>
      <c r="X215" s="109"/>
      <c r="Y215" s="110"/>
      <c r="AF215" s="109"/>
      <c r="AG215" s="109"/>
    </row>
    <row r="216" spans="4:33">
      <c r="D216" s="109"/>
      <c r="E216" s="110"/>
      <c r="O216" s="109"/>
      <c r="P216" s="110"/>
      <c r="W216" s="111"/>
      <c r="X216" s="109"/>
      <c r="Y216" s="110"/>
      <c r="AF216" s="109"/>
      <c r="AG216" s="109"/>
    </row>
    <row r="217" spans="4:33">
      <c r="D217" s="109"/>
      <c r="E217" s="110"/>
      <c r="O217" s="109"/>
      <c r="P217" s="110"/>
      <c r="W217" s="111"/>
      <c r="X217" s="109"/>
      <c r="Y217" s="110"/>
      <c r="AF217" s="109"/>
      <c r="AG217" s="109"/>
    </row>
    <row r="218" spans="4:33">
      <c r="D218" s="109"/>
      <c r="E218" s="110"/>
      <c r="O218" s="109"/>
      <c r="P218" s="110"/>
      <c r="W218" s="111"/>
      <c r="X218" s="109"/>
      <c r="Y218" s="110"/>
      <c r="AF218" s="109"/>
      <c r="AG218" s="109"/>
    </row>
    <row r="219" spans="4:33">
      <c r="D219" s="109"/>
      <c r="E219" s="110"/>
      <c r="O219" s="109"/>
      <c r="P219" s="110"/>
      <c r="W219" s="111"/>
      <c r="X219" s="109"/>
      <c r="Y219" s="110"/>
      <c r="AF219" s="109"/>
      <c r="AG219" s="109"/>
    </row>
    <row r="220" spans="4:33">
      <c r="D220" s="109"/>
      <c r="E220" s="110"/>
      <c r="O220" s="109"/>
      <c r="P220" s="110"/>
      <c r="W220" s="111"/>
      <c r="X220" s="109"/>
      <c r="Y220" s="110"/>
      <c r="AF220" s="109"/>
      <c r="AG220" s="109"/>
    </row>
    <row r="221" spans="4:33">
      <c r="D221" s="109"/>
      <c r="E221" s="110"/>
      <c r="O221" s="109"/>
      <c r="P221" s="110"/>
      <c r="W221" s="111"/>
      <c r="X221" s="109"/>
      <c r="Y221" s="110"/>
      <c r="AF221" s="109"/>
      <c r="AG221" s="109"/>
    </row>
    <row r="222" spans="4:33">
      <c r="D222" s="109"/>
      <c r="E222" s="110"/>
      <c r="O222" s="109"/>
      <c r="P222" s="110"/>
      <c r="W222" s="111"/>
      <c r="X222" s="109"/>
      <c r="Y222" s="110"/>
      <c r="AF222" s="109"/>
      <c r="AG222" s="109"/>
    </row>
    <row r="223" spans="4:33">
      <c r="D223" s="109"/>
      <c r="E223" s="110"/>
      <c r="O223" s="109"/>
      <c r="P223" s="110"/>
      <c r="W223" s="111"/>
      <c r="X223" s="109"/>
      <c r="Y223" s="110"/>
      <c r="AF223" s="109"/>
      <c r="AG223" s="109"/>
    </row>
    <row r="224" spans="4:33">
      <c r="D224" s="109"/>
      <c r="E224" s="110"/>
      <c r="O224" s="109"/>
      <c r="P224" s="110"/>
      <c r="W224" s="111"/>
      <c r="X224" s="109"/>
      <c r="Y224" s="110"/>
      <c r="AF224" s="109"/>
      <c r="AG224" s="109"/>
    </row>
    <row r="225" spans="4:33">
      <c r="D225" s="109"/>
      <c r="E225" s="110"/>
      <c r="O225" s="109"/>
      <c r="P225" s="110"/>
      <c r="W225" s="111"/>
      <c r="X225" s="109"/>
      <c r="Y225" s="110"/>
      <c r="AF225" s="109"/>
      <c r="AG225" s="109"/>
    </row>
    <row r="226" spans="4:33">
      <c r="D226" s="109"/>
      <c r="E226" s="110"/>
      <c r="O226" s="109"/>
      <c r="P226" s="110"/>
      <c r="W226" s="111"/>
      <c r="X226" s="109"/>
      <c r="Y226" s="110"/>
      <c r="AF226" s="109"/>
      <c r="AG226" s="109"/>
    </row>
    <row r="227" spans="4:33">
      <c r="D227" s="109"/>
      <c r="E227" s="110"/>
      <c r="O227" s="109"/>
      <c r="P227" s="110"/>
      <c r="W227" s="111"/>
      <c r="X227" s="109"/>
      <c r="Y227" s="110"/>
      <c r="AF227" s="109"/>
      <c r="AG227" s="109"/>
    </row>
    <row r="228" spans="4:33">
      <c r="D228" s="109"/>
      <c r="E228" s="110"/>
      <c r="O228" s="109"/>
      <c r="P228" s="110"/>
      <c r="W228" s="111"/>
      <c r="X228" s="109"/>
      <c r="Y228" s="110"/>
      <c r="AF228" s="109"/>
      <c r="AG228" s="109"/>
    </row>
    <row r="229" spans="4:33">
      <c r="D229" s="109"/>
      <c r="E229" s="110"/>
      <c r="O229" s="109"/>
      <c r="P229" s="110"/>
      <c r="W229" s="111"/>
      <c r="X229" s="109"/>
      <c r="Y229" s="110"/>
      <c r="AF229" s="109"/>
      <c r="AG229" s="109"/>
    </row>
    <row r="230" spans="4:33">
      <c r="D230" s="109"/>
      <c r="E230" s="110"/>
      <c r="O230" s="109"/>
      <c r="P230" s="110"/>
      <c r="W230" s="111"/>
      <c r="X230" s="109"/>
      <c r="Y230" s="110"/>
      <c r="AF230" s="109"/>
      <c r="AG230" s="109"/>
    </row>
    <row r="231" spans="4:33">
      <c r="D231" s="109"/>
      <c r="E231" s="110"/>
      <c r="O231" s="109"/>
      <c r="P231" s="110"/>
      <c r="W231" s="111"/>
      <c r="X231" s="109"/>
      <c r="Y231" s="110"/>
      <c r="AF231" s="109"/>
      <c r="AG231" s="109"/>
    </row>
    <row r="232" spans="4:33">
      <c r="D232" s="109"/>
      <c r="E232" s="110"/>
      <c r="O232" s="109"/>
      <c r="P232" s="110"/>
      <c r="W232" s="111"/>
      <c r="X232" s="109"/>
      <c r="Y232" s="110"/>
      <c r="AF232" s="109"/>
      <c r="AG232" s="109"/>
    </row>
    <row r="233" spans="4:33">
      <c r="D233" s="109"/>
      <c r="E233" s="110"/>
      <c r="O233" s="109"/>
      <c r="P233" s="110"/>
      <c r="W233" s="111"/>
      <c r="X233" s="109"/>
      <c r="Y233" s="110"/>
      <c r="AF233" s="109"/>
      <c r="AG233" s="109"/>
    </row>
    <row r="234" spans="4:33">
      <c r="D234" s="109"/>
      <c r="E234" s="110"/>
      <c r="O234" s="109"/>
      <c r="P234" s="110"/>
      <c r="W234" s="111"/>
      <c r="X234" s="109"/>
      <c r="Y234" s="110"/>
      <c r="AF234" s="109"/>
      <c r="AG234" s="109"/>
    </row>
    <row r="235" spans="4:33">
      <c r="D235" s="109"/>
      <c r="E235" s="110"/>
      <c r="O235" s="109"/>
      <c r="P235" s="110"/>
      <c r="W235" s="111"/>
      <c r="X235" s="109"/>
      <c r="Y235" s="110"/>
      <c r="AF235" s="109"/>
      <c r="AG235" s="109"/>
    </row>
    <row r="236" spans="4:33">
      <c r="D236" s="109"/>
      <c r="E236" s="110"/>
      <c r="O236" s="109"/>
      <c r="P236" s="110"/>
      <c r="W236" s="111"/>
      <c r="X236" s="109"/>
      <c r="Y236" s="110"/>
      <c r="AF236" s="109"/>
      <c r="AG236" s="109"/>
    </row>
    <row r="237" spans="4:33">
      <c r="D237" s="109"/>
      <c r="E237" s="110"/>
      <c r="O237" s="109"/>
      <c r="P237" s="110"/>
      <c r="W237" s="111"/>
      <c r="X237" s="109"/>
      <c r="Y237" s="110"/>
      <c r="AF237" s="109"/>
      <c r="AG237" s="109"/>
    </row>
    <row r="238" spans="4:33">
      <c r="D238" s="109"/>
      <c r="E238" s="110"/>
      <c r="O238" s="109"/>
      <c r="P238" s="110"/>
      <c r="W238" s="111"/>
      <c r="X238" s="109"/>
      <c r="Y238" s="110"/>
      <c r="AF238" s="109"/>
      <c r="AG238" s="109"/>
    </row>
    <row r="239" spans="4:33">
      <c r="D239" s="109"/>
      <c r="E239" s="110"/>
      <c r="O239" s="109"/>
      <c r="P239" s="110"/>
      <c r="W239" s="111"/>
      <c r="X239" s="109"/>
      <c r="Y239" s="110"/>
      <c r="AF239" s="109"/>
      <c r="AG239" s="109"/>
    </row>
    <row r="240" spans="4:33">
      <c r="D240" s="109"/>
      <c r="E240" s="110"/>
      <c r="O240" s="109"/>
      <c r="P240" s="110"/>
      <c r="W240" s="111"/>
      <c r="X240" s="109"/>
      <c r="Y240" s="110"/>
      <c r="AF240" s="109"/>
      <c r="AG240" s="109"/>
    </row>
    <row r="241" spans="4:33">
      <c r="D241" s="109"/>
      <c r="E241" s="110"/>
      <c r="O241" s="109"/>
      <c r="P241" s="110"/>
      <c r="W241" s="111"/>
      <c r="X241" s="109"/>
      <c r="Y241" s="110"/>
      <c r="AF241" s="109"/>
      <c r="AG241" s="109"/>
    </row>
    <row r="242" spans="4:33">
      <c r="D242" s="109"/>
      <c r="E242" s="110"/>
      <c r="O242" s="109"/>
      <c r="P242" s="110"/>
      <c r="W242" s="111"/>
      <c r="X242" s="109"/>
      <c r="Y242" s="110"/>
      <c r="AF242" s="109"/>
      <c r="AG242" s="109"/>
    </row>
    <row r="243" spans="4:33">
      <c r="D243" s="109"/>
      <c r="E243" s="110"/>
      <c r="O243" s="109"/>
      <c r="P243" s="110"/>
      <c r="W243" s="111"/>
      <c r="X243" s="109"/>
      <c r="Y243" s="110"/>
      <c r="AF243" s="109"/>
      <c r="AG243" s="109"/>
    </row>
    <row r="244" spans="4:33">
      <c r="D244" s="109"/>
      <c r="E244" s="110"/>
      <c r="O244" s="109"/>
      <c r="P244" s="110"/>
      <c r="W244" s="111"/>
      <c r="X244" s="109"/>
      <c r="Y244" s="110"/>
      <c r="AF244" s="109"/>
      <c r="AG244" s="109"/>
    </row>
    <row r="245" spans="4:33">
      <c r="D245" s="109"/>
      <c r="E245" s="110"/>
      <c r="O245" s="109"/>
      <c r="P245" s="110"/>
      <c r="W245" s="111"/>
      <c r="X245" s="109"/>
      <c r="Y245" s="110"/>
      <c r="AF245" s="109"/>
      <c r="AG245" s="109"/>
    </row>
    <row r="246" spans="4:33">
      <c r="D246" s="109"/>
      <c r="E246" s="110"/>
      <c r="O246" s="109"/>
      <c r="P246" s="110"/>
      <c r="W246" s="111"/>
      <c r="X246" s="109"/>
      <c r="Y246" s="110"/>
      <c r="AF246" s="109"/>
      <c r="AG246" s="109"/>
    </row>
    <row r="247" spans="4:33">
      <c r="D247" s="109"/>
      <c r="E247" s="110"/>
      <c r="O247" s="109"/>
      <c r="P247" s="110"/>
      <c r="W247" s="111"/>
      <c r="X247" s="109"/>
      <c r="Y247" s="110"/>
      <c r="AF247" s="109"/>
      <c r="AG247" s="109"/>
    </row>
    <row r="248" spans="4:33">
      <c r="D248" s="109"/>
      <c r="E248" s="110"/>
      <c r="O248" s="109"/>
      <c r="P248" s="110"/>
      <c r="W248" s="111"/>
      <c r="X248" s="109"/>
      <c r="Y248" s="110"/>
      <c r="AF248" s="109"/>
      <c r="AG248" s="109"/>
    </row>
    <row r="249" spans="4:33">
      <c r="D249" s="109"/>
      <c r="E249" s="110"/>
      <c r="O249" s="109"/>
      <c r="P249" s="110"/>
      <c r="W249" s="111"/>
      <c r="X249" s="109"/>
      <c r="Y249" s="110"/>
      <c r="AF249" s="109"/>
      <c r="AG249" s="109"/>
    </row>
    <row r="250" spans="4:33">
      <c r="D250" s="109"/>
      <c r="E250" s="110"/>
      <c r="O250" s="109"/>
      <c r="P250" s="110"/>
      <c r="W250" s="111"/>
      <c r="X250" s="109"/>
      <c r="Y250" s="110"/>
      <c r="AF250" s="109"/>
      <c r="AG250" s="109"/>
    </row>
    <row r="251" spans="4:33">
      <c r="D251" s="109"/>
      <c r="E251" s="110"/>
      <c r="O251" s="109"/>
      <c r="P251" s="110"/>
      <c r="W251" s="111"/>
      <c r="X251" s="109"/>
      <c r="Y251" s="110"/>
      <c r="AF251" s="109"/>
      <c r="AG251" s="109"/>
    </row>
    <row r="252" spans="4:33">
      <c r="D252" s="109"/>
      <c r="E252" s="110"/>
      <c r="O252" s="109"/>
      <c r="P252" s="110"/>
      <c r="W252" s="111"/>
      <c r="X252" s="109"/>
      <c r="Y252" s="110"/>
      <c r="AF252" s="109"/>
      <c r="AG252" s="109"/>
    </row>
    <row r="253" spans="4:33">
      <c r="D253" s="109"/>
      <c r="E253" s="110"/>
      <c r="O253" s="109"/>
      <c r="P253" s="110"/>
      <c r="W253" s="111"/>
      <c r="X253" s="109"/>
      <c r="Y253" s="110"/>
      <c r="AF253" s="109"/>
      <c r="AG253" s="109"/>
    </row>
    <row r="254" spans="4:33">
      <c r="D254" s="109"/>
      <c r="E254" s="110"/>
      <c r="O254" s="109"/>
      <c r="P254" s="110"/>
      <c r="W254" s="111"/>
      <c r="X254" s="109"/>
      <c r="Y254" s="110"/>
      <c r="AF254" s="109"/>
      <c r="AG254" s="109"/>
    </row>
    <row r="255" spans="4:33">
      <c r="D255" s="109"/>
      <c r="E255" s="110"/>
      <c r="O255" s="109"/>
      <c r="P255" s="110"/>
      <c r="W255" s="111"/>
      <c r="X255" s="109"/>
      <c r="Y255" s="110"/>
      <c r="AF255" s="109"/>
      <c r="AG255" s="109"/>
    </row>
    <row r="256" spans="4:33">
      <c r="D256" s="109"/>
      <c r="E256" s="110"/>
      <c r="O256" s="109"/>
      <c r="P256" s="110"/>
      <c r="W256" s="111"/>
      <c r="X256" s="109"/>
      <c r="Y256" s="110"/>
      <c r="AF256" s="109"/>
      <c r="AG256" s="109"/>
    </row>
    <row r="257" spans="4:33">
      <c r="D257" s="109"/>
      <c r="E257" s="110"/>
      <c r="O257" s="109"/>
      <c r="P257" s="110"/>
      <c r="W257" s="111"/>
      <c r="X257" s="109"/>
      <c r="Y257" s="110"/>
      <c r="AF257" s="109"/>
      <c r="AG257" s="109"/>
    </row>
    <row r="258" spans="4:33">
      <c r="D258" s="109"/>
      <c r="E258" s="110"/>
      <c r="O258" s="109"/>
      <c r="P258" s="110"/>
      <c r="W258" s="111"/>
      <c r="X258" s="109"/>
      <c r="Y258" s="110"/>
      <c r="AF258" s="109"/>
      <c r="AG258" s="109"/>
    </row>
    <row r="259" spans="4:33">
      <c r="D259" s="109"/>
      <c r="E259" s="110"/>
      <c r="O259" s="109"/>
      <c r="P259" s="110"/>
      <c r="W259" s="111"/>
      <c r="X259" s="109"/>
      <c r="Y259" s="110"/>
      <c r="AF259" s="109"/>
      <c r="AG259" s="109"/>
    </row>
    <row r="260" spans="4:33">
      <c r="D260" s="109"/>
      <c r="E260" s="110"/>
      <c r="O260" s="109"/>
      <c r="P260" s="110"/>
      <c r="W260" s="111"/>
      <c r="X260" s="109"/>
      <c r="Y260" s="110"/>
      <c r="AF260" s="109"/>
      <c r="AG260" s="109"/>
    </row>
    <row r="261" spans="4:33">
      <c r="D261" s="109"/>
      <c r="E261" s="110"/>
      <c r="O261" s="109"/>
      <c r="P261" s="110"/>
      <c r="W261" s="111"/>
      <c r="X261" s="109"/>
      <c r="Y261" s="110"/>
      <c r="AF261" s="109"/>
      <c r="AG261" s="109"/>
    </row>
    <row r="262" spans="4:33">
      <c r="D262" s="109"/>
      <c r="E262" s="110"/>
      <c r="O262" s="109"/>
      <c r="P262" s="110"/>
      <c r="W262" s="111"/>
      <c r="X262" s="109"/>
      <c r="Y262" s="110"/>
      <c r="AF262" s="109"/>
      <c r="AG262" s="109"/>
    </row>
    <row r="263" spans="4:33">
      <c r="D263" s="109"/>
      <c r="E263" s="110"/>
      <c r="O263" s="109"/>
      <c r="P263" s="110"/>
      <c r="W263" s="111"/>
      <c r="X263" s="109"/>
      <c r="Y263" s="110"/>
      <c r="AF263" s="109"/>
      <c r="AG263" s="109"/>
    </row>
    <row r="264" spans="4:33">
      <c r="D264" s="109"/>
      <c r="E264" s="110"/>
      <c r="O264" s="109"/>
      <c r="P264" s="110"/>
      <c r="W264" s="111"/>
      <c r="X264" s="109"/>
      <c r="Y264" s="110"/>
      <c r="AF264" s="109"/>
      <c r="AG264" s="109"/>
    </row>
    <row r="265" spans="4:33">
      <c r="D265" s="109"/>
      <c r="E265" s="110"/>
      <c r="O265" s="109"/>
      <c r="P265" s="110"/>
      <c r="W265" s="111"/>
      <c r="X265" s="109"/>
      <c r="Y265" s="110"/>
      <c r="AF265" s="109"/>
      <c r="AG265" s="109"/>
    </row>
    <row r="266" spans="4:33">
      <c r="D266" s="109"/>
      <c r="E266" s="110"/>
      <c r="O266" s="109"/>
      <c r="P266" s="110"/>
      <c r="W266" s="111"/>
      <c r="X266" s="109"/>
      <c r="Y266" s="110"/>
      <c r="AF266" s="109"/>
      <c r="AG266" s="109"/>
    </row>
    <row r="267" spans="4:33">
      <c r="D267" s="109"/>
      <c r="E267" s="110"/>
      <c r="O267" s="109"/>
      <c r="P267" s="110"/>
      <c r="W267" s="111"/>
      <c r="X267" s="109"/>
      <c r="Y267" s="110"/>
      <c r="AF267" s="109"/>
      <c r="AG267" s="109"/>
    </row>
    <row r="268" spans="4:33">
      <c r="D268" s="109"/>
      <c r="E268" s="110"/>
      <c r="O268" s="109"/>
      <c r="P268" s="110"/>
      <c r="W268" s="111"/>
      <c r="X268" s="109"/>
      <c r="Y268" s="110"/>
      <c r="AF268" s="109"/>
      <c r="AG268" s="109"/>
    </row>
    <row r="269" spans="4:33">
      <c r="D269" s="109"/>
      <c r="E269" s="110"/>
      <c r="O269" s="109"/>
      <c r="P269" s="110"/>
      <c r="W269" s="111"/>
      <c r="X269" s="109"/>
      <c r="Y269" s="110"/>
      <c r="AF269" s="109"/>
      <c r="AG269" s="109"/>
    </row>
    <row r="270" spans="4:33">
      <c r="D270" s="109"/>
      <c r="E270" s="110"/>
      <c r="O270" s="109"/>
      <c r="P270" s="110"/>
      <c r="W270" s="111"/>
      <c r="X270" s="109"/>
      <c r="Y270" s="110"/>
      <c r="AF270" s="109"/>
      <c r="AG270" s="109"/>
    </row>
    <row r="271" spans="4:33">
      <c r="D271" s="109"/>
      <c r="E271" s="110"/>
      <c r="O271" s="109"/>
      <c r="P271" s="110"/>
      <c r="W271" s="111"/>
      <c r="X271" s="109"/>
      <c r="Y271" s="110"/>
      <c r="AF271" s="109"/>
      <c r="AG271" s="109"/>
    </row>
    <row r="272" spans="4:33">
      <c r="D272" s="109"/>
      <c r="E272" s="110"/>
      <c r="O272" s="109"/>
      <c r="P272" s="110"/>
      <c r="W272" s="111"/>
      <c r="X272" s="109"/>
      <c r="Y272" s="110"/>
      <c r="AF272" s="109"/>
      <c r="AG272" s="109"/>
    </row>
    <row r="273" spans="4:33">
      <c r="D273" s="109"/>
      <c r="E273" s="110"/>
      <c r="O273" s="109"/>
      <c r="P273" s="110"/>
      <c r="W273" s="111"/>
      <c r="X273" s="109"/>
      <c r="Y273" s="110"/>
      <c r="AF273" s="109"/>
      <c r="AG273" s="109"/>
    </row>
    <row r="274" spans="4:33">
      <c r="D274" s="109"/>
      <c r="E274" s="110"/>
      <c r="O274" s="109"/>
      <c r="P274" s="110"/>
      <c r="W274" s="111"/>
      <c r="X274" s="109"/>
      <c r="Y274" s="110"/>
      <c r="AF274" s="109"/>
      <c r="AG274" s="109"/>
    </row>
    <row r="275" spans="4:33">
      <c r="D275" s="109"/>
      <c r="E275" s="110"/>
      <c r="O275" s="109"/>
      <c r="P275" s="110"/>
      <c r="W275" s="111"/>
      <c r="X275" s="109"/>
      <c r="Y275" s="110"/>
      <c r="AF275" s="109"/>
      <c r="AG275" s="109"/>
    </row>
    <row r="276" spans="4:33">
      <c r="D276" s="109"/>
      <c r="E276" s="110"/>
      <c r="O276" s="109"/>
      <c r="P276" s="110"/>
      <c r="W276" s="111"/>
      <c r="X276" s="109"/>
      <c r="Y276" s="110"/>
      <c r="AF276" s="109"/>
      <c r="AG276" s="109"/>
    </row>
    <row r="277" spans="4:33">
      <c r="D277" s="109"/>
      <c r="E277" s="110"/>
      <c r="O277" s="109"/>
      <c r="P277" s="110"/>
      <c r="W277" s="111"/>
      <c r="X277" s="109"/>
      <c r="Y277" s="110"/>
      <c r="AF277" s="109"/>
      <c r="AG277" s="109"/>
    </row>
    <row r="278" spans="4:33">
      <c r="D278" s="109"/>
      <c r="E278" s="110"/>
      <c r="O278" s="109"/>
      <c r="P278" s="110"/>
      <c r="W278" s="111"/>
      <c r="X278" s="109"/>
      <c r="Y278" s="110"/>
      <c r="AF278" s="109"/>
      <c r="AG278" s="109"/>
    </row>
    <row r="279" spans="4:33">
      <c r="D279" s="109"/>
      <c r="E279" s="110"/>
      <c r="O279" s="109"/>
      <c r="P279" s="110"/>
      <c r="W279" s="111"/>
      <c r="X279" s="109"/>
      <c r="Y279" s="110"/>
      <c r="AF279" s="109"/>
      <c r="AG279" s="109"/>
    </row>
    <row r="280" spans="4:33">
      <c r="D280" s="109"/>
      <c r="E280" s="110"/>
      <c r="O280" s="109"/>
      <c r="P280" s="110"/>
      <c r="W280" s="111"/>
      <c r="X280" s="109"/>
      <c r="Y280" s="110"/>
      <c r="AF280" s="109"/>
      <c r="AG280" s="109"/>
    </row>
    <row r="281" spans="4:33">
      <c r="D281" s="109"/>
      <c r="E281" s="110"/>
      <c r="O281" s="109"/>
      <c r="P281" s="110"/>
      <c r="W281" s="111"/>
      <c r="X281" s="109"/>
      <c r="Y281" s="110"/>
      <c r="AF281" s="109"/>
      <c r="AG281" s="109"/>
    </row>
    <row r="282" spans="4:33">
      <c r="D282" s="109"/>
      <c r="E282" s="110"/>
      <c r="O282" s="109"/>
      <c r="P282" s="110"/>
      <c r="W282" s="111"/>
      <c r="X282" s="109"/>
      <c r="Y282" s="110"/>
      <c r="AF282" s="109"/>
      <c r="AG282" s="109"/>
    </row>
    <row r="283" spans="4:33">
      <c r="D283" s="109"/>
      <c r="E283" s="110"/>
      <c r="O283" s="109"/>
      <c r="P283" s="110"/>
      <c r="W283" s="111"/>
      <c r="X283" s="109"/>
      <c r="Y283" s="110"/>
      <c r="AF283" s="109"/>
      <c r="AG283" s="109"/>
    </row>
    <row r="284" spans="4:33">
      <c r="D284" s="109"/>
      <c r="E284" s="110"/>
      <c r="O284" s="109"/>
      <c r="P284" s="110"/>
      <c r="W284" s="111"/>
      <c r="X284" s="109"/>
      <c r="Y284" s="110"/>
      <c r="AF284" s="109"/>
      <c r="AG284" s="109"/>
    </row>
    <row r="285" spans="4:33">
      <c r="D285" s="109"/>
      <c r="E285" s="110"/>
      <c r="O285" s="109"/>
      <c r="P285" s="110"/>
      <c r="W285" s="111"/>
      <c r="X285" s="109"/>
      <c r="Y285" s="110"/>
      <c r="AF285" s="109"/>
      <c r="AG285" s="109"/>
    </row>
    <row r="286" spans="4:33">
      <c r="D286" s="109"/>
      <c r="E286" s="110"/>
      <c r="O286" s="109"/>
      <c r="P286" s="110"/>
      <c r="W286" s="111"/>
      <c r="X286" s="109"/>
      <c r="Y286" s="110"/>
      <c r="AF286" s="109"/>
      <c r="AG286" s="109"/>
    </row>
    <row r="287" spans="4:33">
      <c r="D287" s="109"/>
      <c r="E287" s="110"/>
      <c r="O287" s="109"/>
      <c r="P287" s="110"/>
      <c r="W287" s="111"/>
      <c r="X287" s="109"/>
      <c r="Y287" s="110"/>
      <c r="AF287" s="109"/>
      <c r="AG287" s="109"/>
    </row>
    <row r="288" spans="4:33">
      <c r="D288" s="109"/>
      <c r="E288" s="110"/>
      <c r="O288" s="109"/>
      <c r="P288" s="110"/>
      <c r="W288" s="111"/>
      <c r="X288" s="109"/>
      <c r="Y288" s="110"/>
      <c r="AF288" s="109"/>
      <c r="AG288" s="109"/>
    </row>
    <row r="289" spans="4:33">
      <c r="D289" s="109"/>
      <c r="E289" s="110"/>
      <c r="O289" s="109"/>
      <c r="P289" s="110"/>
      <c r="W289" s="111"/>
      <c r="X289" s="109"/>
      <c r="Y289" s="110"/>
      <c r="AF289" s="109"/>
      <c r="AG289" s="109"/>
    </row>
    <row r="290" spans="4:33">
      <c r="D290" s="109"/>
      <c r="E290" s="110"/>
      <c r="O290" s="109"/>
      <c r="P290" s="110"/>
      <c r="W290" s="111"/>
      <c r="X290" s="109"/>
      <c r="Y290" s="110"/>
      <c r="AF290" s="109"/>
      <c r="AG290" s="109"/>
    </row>
    <row r="291" spans="4:33">
      <c r="D291" s="109"/>
      <c r="E291" s="110"/>
      <c r="O291" s="109"/>
      <c r="P291" s="110"/>
      <c r="W291" s="111"/>
      <c r="X291" s="109"/>
      <c r="Y291" s="110"/>
      <c r="AF291" s="109"/>
      <c r="AG291" s="109"/>
    </row>
    <row r="292" spans="4:33">
      <c r="D292" s="109"/>
      <c r="E292" s="110"/>
      <c r="O292" s="109"/>
      <c r="P292" s="110"/>
      <c r="W292" s="111"/>
      <c r="X292" s="109"/>
      <c r="Y292" s="110"/>
      <c r="AF292" s="109"/>
      <c r="AG292" s="109"/>
    </row>
    <row r="293" spans="4:33">
      <c r="D293" s="109"/>
      <c r="E293" s="110"/>
      <c r="O293" s="109"/>
      <c r="P293" s="110"/>
      <c r="W293" s="111"/>
      <c r="X293" s="109"/>
      <c r="Y293" s="110"/>
      <c r="AF293" s="109"/>
      <c r="AG293" s="109"/>
    </row>
    <row r="294" spans="4:33">
      <c r="D294" s="109"/>
      <c r="E294" s="110"/>
      <c r="O294" s="109"/>
      <c r="P294" s="110"/>
      <c r="W294" s="111"/>
      <c r="X294" s="109"/>
      <c r="Y294" s="110"/>
      <c r="AF294" s="109"/>
      <c r="AG294" s="109"/>
    </row>
    <row r="295" spans="4:33">
      <c r="D295" s="109"/>
      <c r="E295" s="110"/>
      <c r="O295" s="109"/>
      <c r="P295" s="110"/>
      <c r="W295" s="111"/>
      <c r="X295" s="109"/>
      <c r="Y295" s="110"/>
      <c r="AF295" s="109"/>
      <c r="AG295" s="109"/>
    </row>
    <row r="296" spans="4:33">
      <c r="D296" s="109"/>
      <c r="E296" s="110"/>
      <c r="O296" s="109"/>
      <c r="P296" s="110"/>
      <c r="W296" s="111"/>
      <c r="X296" s="109"/>
      <c r="Y296" s="110"/>
      <c r="AF296" s="109"/>
      <c r="AG296" s="109"/>
    </row>
    <row r="297" spans="4:33">
      <c r="D297" s="109"/>
      <c r="E297" s="110"/>
      <c r="O297" s="109"/>
      <c r="P297" s="110"/>
      <c r="W297" s="111"/>
      <c r="X297" s="109"/>
      <c r="Y297" s="110"/>
      <c r="AF297" s="109"/>
      <c r="AG297" s="109"/>
    </row>
    <row r="298" spans="4:33">
      <c r="D298" s="109"/>
      <c r="E298" s="110"/>
      <c r="O298" s="109"/>
      <c r="P298" s="110"/>
      <c r="W298" s="111"/>
      <c r="X298" s="109"/>
      <c r="Y298" s="110"/>
      <c r="AF298" s="109"/>
      <c r="AG298" s="109"/>
    </row>
    <row r="299" spans="4:33">
      <c r="D299" s="109"/>
      <c r="E299" s="110"/>
      <c r="O299" s="109"/>
      <c r="P299" s="110"/>
      <c r="W299" s="111"/>
      <c r="X299" s="109"/>
      <c r="Y299" s="110"/>
      <c r="AF299" s="109"/>
      <c r="AG299" s="109"/>
    </row>
    <row r="300" spans="4:33">
      <c r="D300" s="109"/>
      <c r="E300" s="110"/>
      <c r="O300" s="109"/>
      <c r="P300" s="110"/>
      <c r="W300" s="111"/>
      <c r="X300" s="109"/>
      <c r="Y300" s="110"/>
      <c r="AF300" s="109"/>
      <c r="AG300" s="109"/>
    </row>
    <row r="301" spans="4:33">
      <c r="D301" s="109"/>
      <c r="E301" s="110"/>
      <c r="O301" s="109"/>
      <c r="P301" s="110"/>
      <c r="W301" s="111"/>
      <c r="X301" s="109"/>
      <c r="Y301" s="110"/>
      <c r="AF301" s="109"/>
      <c r="AG301" s="109"/>
    </row>
    <row r="302" spans="4:33">
      <c r="D302" s="109"/>
      <c r="E302" s="110"/>
      <c r="O302" s="109"/>
      <c r="P302" s="110"/>
      <c r="W302" s="111"/>
      <c r="X302" s="109"/>
      <c r="Y302" s="110"/>
      <c r="AF302" s="109"/>
      <c r="AG302" s="109"/>
    </row>
    <row r="303" spans="4:33">
      <c r="D303" s="109"/>
      <c r="E303" s="110"/>
      <c r="O303" s="109"/>
      <c r="P303" s="110"/>
      <c r="W303" s="111"/>
      <c r="X303" s="109"/>
      <c r="Y303" s="110"/>
      <c r="AF303" s="109"/>
      <c r="AG303" s="109"/>
    </row>
    <row r="304" spans="4:33">
      <c r="D304" s="109"/>
      <c r="E304" s="110"/>
      <c r="O304" s="109"/>
      <c r="P304" s="110"/>
      <c r="W304" s="111"/>
      <c r="X304" s="109"/>
      <c r="Y304" s="110"/>
      <c r="AF304" s="109"/>
      <c r="AG304" s="109"/>
    </row>
    <row r="305" spans="4:33">
      <c r="D305" s="109"/>
      <c r="E305" s="110"/>
      <c r="O305" s="109"/>
      <c r="P305" s="110"/>
      <c r="W305" s="111"/>
      <c r="X305" s="109"/>
      <c r="Y305" s="110"/>
      <c r="AF305" s="109"/>
      <c r="AG305" s="109"/>
    </row>
    <row r="306" spans="4:33">
      <c r="D306" s="109"/>
      <c r="E306" s="110"/>
      <c r="O306" s="109"/>
      <c r="P306" s="110"/>
      <c r="W306" s="111"/>
      <c r="X306" s="109"/>
      <c r="Y306" s="110"/>
      <c r="AF306" s="109"/>
      <c r="AG306" s="109"/>
    </row>
    <row r="307" spans="4:33">
      <c r="D307" s="109"/>
      <c r="E307" s="110"/>
    </row>
    <row r="308" spans="4:33">
      <c r="D308" s="109"/>
      <c r="E308" s="110"/>
    </row>
    <row r="309" spans="4:33">
      <c r="D309" s="109"/>
      <c r="E309" s="110"/>
    </row>
    <row r="310" spans="4:33">
      <c r="D310" s="109"/>
      <c r="E310" s="110"/>
    </row>
    <row r="311" spans="4:33">
      <c r="D311" s="109"/>
      <c r="E311" s="110"/>
    </row>
    <row r="312" spans="4:33">
      <c r="D312" s="109"/>
      <c r="E312" s="110"/>
    </row>
    <row r="313" spans="4:33">
      <c r="D313" s="109"/>
      <c r="E313" s="110"/>
    </row>
    <row r="314" spans="4:33">
      <c r="D314" s="109"/>
      <c r="E314" s="110"/>
    </row>
    <row r="315" spans="4:33">
      <c r="D315" s="109"/>
      <c r="E315" s="110"/>
    </row>
    <row r="316" spans="4:33">
      <c r="D316" s="109"/>
      <c r="E316" s="110"/>
    </row>
    <row r="317" spans="4:33">
      <c r="D317" s="109"/>
      <c r="E317" s="110"/>
    </row>
    <row r="318" spans="4:33">
      <c r="D318" s="109"/>
      <c r="E318" s="110"/>
    </row>
    <row r="319" spans="4:33">
      <c r="D319" s="109"/>
      <c r="E319" s="110"/>
    </row>
    <row r="320" spans="4:33">
      <c r="D320" s="109"/>
      <c r="E320" s="110"/>
    </row>
    <row r="321" spans="4:5">
      <c r="D321" s="109"/>
      <c r="E321" s="110"/>
    </row>
    <row r="322" spans="4:5">
      <c r="D322" s="109"/>
      <c r="E322" s="110"/>
    </row>
    <row r="323" spans="4:5">
      <c r="D323" s="109"/>
      <c r="E323" s="110"/>
    </row>
    <row r="324" spans="4:5">
      <c r="D324" s="109"/>
      <c r="E324" s="110"/>
    </row>
    <row r="325" spans="4:5">
      <c r="D325" s="109"/>
      <c r="E325" s="110"/>
    </row>
    <row r="326" spans="4:5">
      <c r="D326" s="109"/>
      <c r="E326" s="110"/>
    </row>
    <row r="327" spans="4:5">
      <c r="D327" s="109"/>
      <c r="E327" s="110"/>
    </row>
    <row r="328" spans="4:5">
      <c r="D328" s="109"/>
      <c r="E328" s="110"/>
    </row>
    <row r="329" spans="4:5">
      <c r="D329" s="109"/>
      <c r="E329" s="110"/>
    </row>
    <row r="330" spans="4:5">
      <c r="D330" s="109"/>
      <c r="E330" s="110"/>
    </row>
    <row r="331" spans="4:5">
      <c r="D331" s="109"/>
      <c r="E331" s="110"/>
    </row>
    <row r="332" spans="4:5">
      <c r="D332" s="109"/>
      <c r="E332" s="110"/>
    </row>
    <row r="333" spans="4:5">
      <c r="D333" s="109"/>
      <c r="E333" s="110"/>
    </row>
    <row r="334" spans="4:5">
      <c r="D334" s="109"/>
      <c r="E334" s="110"/>
    </row>
  </sheetData>
  <sheetProtection password="D4C7" sheet="1" objects="1" scenarios="1" formatColumns="0" formatRows="0" autoFilter="0"/>
  <mergeCells count="16">
    <mergeCell ref="B2:K2"/>
    <mergeCell ref="B3:K3"/>
    <mergeCell ref="D5:J5"/>
    <mergeCell ref="E9:J9"/>
    <mergeCell ref="E10:J10"/>
    <mergeCell ref="D12:E12"/>
    <mergeCell ref="D13:E13"/>
    <mergeCell ref="F12:G12"/>
    <mergeCell ref="F13:G13"/>
    <mergeCell ref="H12:I12"/>
    <mergeCell ref="H13:I13"/>
    <mergeCell ref="B15:K15"/>
    <mergeCell ref="B33:E33"/>
    <mergeCell ref="M5:Q5"/>
    <mergeCell ref="S5:Z5"/>
    <mergeCell ref="AB5:AI5"/>
  </mergeCells>
  <conditionalFormatting sqref="AH7:AH400">
    <cfRule type="cellIs" dxfId="5" priority="12" operator="equal">
      <formula>"Présenté"</formula>
    </cfRule>
  </conditionalFormatting>
  <conditionalFormatting sqref="G17:G31">
    <cfRule type="expression" dxfId="28" priority="1">
      <formula>AND(ISNUMBER(G17),G17&gt;pSeuil)</formula>
    </cfRule>
    <cfRule type="expression" dxfId="29" priority="2">
      <formula>AND(ISNUMBER(G17),G17=pSeuil)</formula>
    </cfRule>
  </conditionalFormatting>
  <conditionalFormatting sqref="K17:K31">
    <cfRule type="expression" dxfId="2" priority="3">
      <formula>LEFT($K17,1)="⚠"</formula>
    </cfRule>
  </conditionalFormatting>
  <conditionalFormatting sqref="Q7:Q400">
    <cfRule type="cellIs" dxfId="7" priority="4" operator="equal">
      <formula>"P"</formula>
    </cfRule>
    <cfRule type="cellIs" dxfId="8" priority="5" operator="equal">
      <formula>"A"</formula>
    </cfRule>
    <cfRule type="cellIs" dxfId="9" priority="6" operator="equal">
      <formula>"R"</formula>
    </cfRule>
    <cfRule type="cellIs" dxfId="10" priority="7" operator="equal">
      <formula>"E"</formula>
    </cfRule>
  </conditionalFormatting>
  <conditionalFormatting sqref="Z7:Z400">
    <cfRule type="cellIs" dxfId="5" priority="8" operator="equal">
      <formula>"À temps"</formula>
    </cfRule>
    <cfRule type="cellIs" dxfId="5" priority="9" operator="equal">
      <formula>"Remis"</formula>
    </cfRule>
    <cfRule type="cellIs" dxfId="6" priority="10" operator="equal">
      <formula>"En retard"</formula>
    </cfRule>
    <cfRule type="cellIs" dxfId="4" priority="11" operator="equal">
      <formula>"Non remis"</formula>
    </cfRule>
  </conditionalFormatting>
  <dataValidations count="1">
    <dataValidation type="list" allowBlank="1" showInputMessage="1" showErrorMessage="1" promptTitle="Étudiant" prompt="Choisissez l'étudiant dans la liste." sqref="C7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pageSetup paperSize="9" fitToHeight="0"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ivi">
    <tabColor rgb="FF70AD47"/>
  </sheetPr>
  <dimension ref="A1:AA325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12.7109375" customWidth="1"/>
    <col min="3" max="3" width="30.7109375" customWidth="1"/>
    <col min="4" max="4" width="22.7109375" customWidth="1"/>
    <col min="5" max="8" width="10.7109375" customWidth="1"/>
    <col min="9" max="9" width="11.7109375" customWidth="1"/>
    <col min="10" max="10" width="10.7109375" customWidth="1"/>
    <col min="11" max="11" width="14.7109375" customWidth="1"/>
    <col min="12" max="12" width="13.7109375" customWidth="1"/>
    <col min="13" max="13" width="45.7109375" customWidth="1"/>
    <col min="14" max="14" width="12.7109375" customWidth="1"/>
    <col min="15" max="15" width="3.7109375" customWidth="1"/>
    <col min="16" max="16" width="12.7109375" customWidth="1"/>
    <col min="17" max="17" width="10.7109375" customWidth="1"/>
    <col min="18" max="20" width="8.7109375" customWidth="1"/>
    <col min="21" max="21" width="12.7109375" customWidth="1"/>
    <col min="22" max="22" width="24.7109375" customWidth="1"/>
    <col min="23" max="23" width="20.7109375" customWidth="1"/>
    <col min="24" max="24" width="11.7109375" customWidth="1"/>
    <col min="25" max="25" width="18.7109375" customWidth="1"/>
    <col min="26" max="26" width="10.7109375" customWidth="1"/>
    <col min="27" max="27" width="45.7109375" customWidth="1"/>
  </cols>
  <sheetData>
    <row r="1" spans="2:27" ht="8" customHeight="1" x14ac:dyDescent="0.25">
      <c r="B1" s="1" t="s">
        <v>1</v>
      </c>
      <c r="C1" s="1" t="s">
        <v>2</v>
      </c>
    </row>
    <row r="2" spans="2:27" ht="34" customHeight="1" x14ac:dyDescent="0.25">
      <c r="B2" s="2" t="s">
        <v>182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27" ht="26" customHeight="1" x14ac:dyDescent="0.25">
      <c r="B3" s="4" t="s">
        <v>183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27" x14ac:dyDescent="0.25">
      <c r="B5" s="8" t="s">
        <v>184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P5" s="9" t="s">
        <v>198</v>
      </c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2:27" ht="32" customHeight="1" x14ac:dyDescent="0.25">
      <c r="B6" s="126" t="s">
        <v>13</v>
      </c>
      <c r="C6" s="126" t="s">
        <v>14</v>
      </c>
      <c r="D6" s="126" t="s">
        <v>185</v>
      </c>
      <c r="E6" s="126" t="s">
        <v>186</v>
      </c>
      <c r="F6" s="126" t="s">
        <v>187</v>
      </c>
      <c r="G6" s="126" t="s">
        <v>188</v>
      </c>
      <c r="H6" s="126" t="s">
        <v>189</v>
      </c>
      <c r="I6" s="126" t="s">
        <v>190</v>
      </c>
      <c r="J6" s="126" t="s">
        <v>191</v>
      </c>
      <c r="K6" s="126" t="s">
        <v>192</v>
      </c>
      <c r="L6" s="126" t="s">
        <v>193</v>
      </c>
      <c r="M6" s="126" t="s">
        <v>194</v>
      </c>
      <c r="N6" s="126" t="s">
        <v>195</v>
      </c>
      <c r="P6" s="64" t="s">
        <v>15</v>
      </c>
      <c r="Q6" s="65"/>
      <c r="R6" s="65"/>
      <c r="S6" s="65"/>
      <c r="T6" s="3" t="s">
        <v>199</v>
      </c>
      <c r="U6" s="3"/>
      <c r="V6" s="3"/>
      <c r="W6" s="3"/>
    </row>
    <row r="7" spans="2:27" x14ac:dyDescent="0.25">
      <c r="B7" s="28">
        <f>IFERROR(INDEX(tblMatieres[Code],1),"")</f>
        <v>0</v>
      </c>
      <c r="C7" s="29">
        <f>IF($B7="","",INDEX(tblMatieres[Abrégé],1))</f>
        <v>0</v>
      </c>
      <c r="D7" s="29">
        <f>IF($B7="","",INDEX(tblMatieres[Enseignant(s)],1))</f>
        <v>0</v>
      </c>
      <c r="E7" s="27">
        <f>IF($B7="","",INDEX(tblMatieres[Volume total (h)],1))</f>
        <v>0</v>
      </c>
      <c r="F7" s="27">
        <f>IF($B7="","",COUNTIFS(tblSeances[Code matière],$B7,tblSeances[Présence prof],"&lt;&gt;Absent"))</f>
        <v>0</v>
      </c>
      <c r="G7" s="27">
        <f>IF($B7="","",COUNTIFS(tblSeances[Code matière],$B7,tblSeances[Présence prof],"Absent"))</f>
        <v>0</v>
      </c>
      <c r="H7" s="27">
        <f>IF($B7="","",COUNTIFS(tblSeances[Code matière],$B7,tblSeances[Présence prof],"Retard"))</f>
        <v>0</v>
      </c>
      <c r="I7" s="127">
        <f>IF($B7="","",SUMIFS(tblSeances[Durée (h)],tblSeances[Code matière],$B7,tblSeances[Présence prof],"&lt;&gt;Absent"))</f>
        <v>0</v>
      </c>
      <c r="J7" s="128">
        <f>IF($B7="","",MAX(0,E7-I7))</f>
        <v>0</v>
      </c>
      <c r="K7" s="123">
        <f>IF($B7="","",IF(N(E7)=0,0,I7/E7))</f>
        <v>0</v>
      </c>
      <c r="L7" s="129">
        <f>IF($B7="","",IF(COUNTIF(tblSeances[Code matière],$B7)=0,"—",_xlfn.MAXIFS(tblSeances[Date],tblSeances[Code matière],$B7)))</f>
        <v>0</v>
      </c>
      <c r="M7" s="130" cm="1">
        <f t="array" ref="M7">IF($B7="","",_xlfn.XLOOKUP($B7,tblSeances[Code matière],tblSeances[Contenu / chapitres traités],"—",0,-1)&amp;"")</f>
        <v>0</v>
      </c>
      <c r="N7" s="123">
        <f>IF($B7="","",IFERROR((COUNTIFS(tblPresences[Code matière],$B7,tblPresences[Statut],"P")+COUNTIFS(tblPresences[Code matière],$B7,tblPresences[Statut],"R"))/COUNTIFS(tblPresences[Code matière],$B7),"—"))</f>
        <v>0</v>
      </c>
    </row>
    <row r="8" spans="2:27" x14ac:dyDescent="0.25">
      <c r="B8" s="31">
        <f>IFERROR(INDEX(tblMatieres[Code],2),"")</f>
        <v>0</v>
      </c>
      <c r="C8" s="32">
        <f>IF($B8="","",INDEX(tblMatieres[Abrégé],2))</f>
        <v>0</v>
      </c>
      <c r="D8" s="32">
        <f>IF($B8="","",INDEX(tblMatieres[Enseignant(s)],2))</f>
        <v>0</v>
      </c>
      <c r="E8" s="30">
        <f>IF($B8="","",INDEX(tblMatieres[Volume total (h)],2))</f>
        <v>0</v>
      </c>
      <c r="F8" s="30">
        <f>IF($B8="","",COUNTIFS(tblSeances[Code matière],$B8,tblSeances[Présence prof],"&lt;&gt;Absent"))</f>
        <v>0</v>
      </c>
      <c r="G8" s="30">
        <f>IF($B8="","",COUNTIFS(tblSeances[Code matière],$B8,tblSeances[Présence prof],"Absent"))</f>
        <v>0</v>
      </c>
      <c r="H8" s="30">
        <f>IF($B8="","",COUNTIFS(tblSeances[Code matière],$B8,tblSeances[Présence prof],"Retard"))</f>
        <v>0</v>
      </c>
      <c r="I8" s="131">
        <f>IF($B8="","",SUMIFS(tblSeances[Durée (h)],tblSeances[Code matière],$B8,tblSeances[Présence prof],"&lt;&gt;Absent"))</f>
        <v>0</v>
      </c>
      <c r="J8" s="132">
        <f>IF($B8="","",MAX(0,E8-I8))</f>
        <v>0</v>
      </c>
      <c r="K8" s="124">
        <f>IF($B8="","",IF(N(E8)=0,0,I8/E8))</f>
        <v>0</v>
      </c>
      <c r="L8" s="133">
        <f>IF($B8="","",IF(COUNTIF(tblSeances[Code matière],$B8)=0,"—",_xlfn.MAXIFS(tblSeances[Date],tblSeances[Code matière],$B8)))</f>
        <v>0</v>
      </c>
      <c r="M8" s="134" cm="1">
        <f t="array" ref="M8">IF($B8="","",_xlfn.XLOOKUP($B8,tblSeances[Code matière],tblSeances[Contenu / chapitres traités],"—",0,-1)&amp;"")</f>
        <v>0</v>
      </c>
      <c r="N8" s="124">
        <f>IF($B8="","",IFERROR((COUNTIFS(tblPresences[Code matière],$B8,tblPresences[Statut],"P")+COUNTIFS(tblPresences[Code matière],$B8,tblPresences[Statut],"R"))/COUNTIFS(tblPresences[Code matière],$B8),"—"))</f>
        <v>0</v>
      </c>
      <c r="P8" s="13" t="s">
        <v>200</v>
      </c>
      <c r="Q8" s="13"/>
      <c r="R8" s="14" t="s">
        <v>201</v>
      </c>
      <c r="S8" s="14"/>
      <c r="T8" s="16" t="s">
        <v>176</v>
      </c>
      <c r="U8" s="115" t="s">
        <v>202</v>
      </c>
      <c r="V8" s="15" t="s">
        <v>203</v>
      </c>
      <c r="W8" s="18" t="s">
        <v>204</v>
      </c>
      <c r="X8" s="18"/>
    </row>
    <row r="9" spans="2:27" ht="30" customHeight="1" x14ac:dyDescent="0.25">
      <c r="B9" s="28">
        <f>IFERROR(INDEX(tblMatieres[Code],3),"")</f>
        <v>0</v>
      </c>
      <c r="C9" s="29">
        <f>IF($B9="","",INDEX(tblMatieres[Abrégé],3))</f>
        <v>0</v>
      </c>
      <c r="D9" s="29">
        <f>IF($B9="","",INDEX(tblMatieres[Enseignant(s)],3))</f>
        <v>0</v>
      </c>
      <c r="E9" s="27">
        <f>IF($B9="","",INDEX(tblMatieres[Volume total (h)],3))</f>
        <v>0</v>
      </c>
      <c r="F9" s="27">
        <f>IF($B9="","",COUNTIFS(tblSeances[Code matière],$B9,tblSeances[Présence prof],"&lt;&gt;Absent"))</f>
        <v>0</v>
      </c>
      <c r="G9" s="27">
        <f>IF($B9="","",COUNTIFS(tblSeances[Code matière],$B9,tblSeances[Présence prof],"Absent"))</f>
        <v>0</v>
      </c>
      <c r="H9" s="27">
        <f>IF($B9="","",COUNTIFS(tblSeances[Code matière],$B9,tblSeances[Présence prof],"Retard"))</f>
        <v>0</v>
      </c>
      <c r="I9" s="127">
        <f>IF($B9="","",SUMIFS(tblSeances[Durée (h)],tblSeances[Code matière],$B9,tblSeances[Présence prof],"&lt;&gt;Absent"))</f>
        <v>0</v>
      </c>
      <c r="J9" s="128">
        <f>IF($B9="","",MAX(0,E9-I9))</f>
        <v>0</v>
      </c>
      <c r="K9" s="123">
        <f>IF($B9="","",IF(N(E9)=0,0,I9/E9))</f>
        <v>0</v>
      </c>
      <c r="L9" s="129">
        <f>IF($B9="","",IF(COUNTIF(tblSeances[Code matière],$B9)=0,"—",_xlfn.MAXIFS(tblSeances[Date],tblSeances[Code matière],$B9)))</f>
        <v>0</v>
      </c>
      <c r="M9" s="130" cm="1">
        <f t="array" ref="M9">IF($B9="","",_xlfn.XLOOKUP($B9,tblSeances[Code matière],tblSeances[Contenu / chapitres traités],"—",0,-1)&amp;"")</f>
        <v>0</v>
      </c>
      <c r="N9" s="123">
        <f>IF($B9="","",IFERROR((COUNTIFS(tblPresences[Code matière],$B9,tblPresences[Statut],"P")+COUNTIFS(tblPresences[Code matière],$B9,tblPresences[Statut],"R"))/COUNTIFS(tblPresences[Code matière],$B9),"—"))</f>
        <v>0</v>
      </c>
      <c r="P9" s="135">
        <f>IF($Q$6="","",COUNTIF(tblMatieres[Enseignant(s)],"*"&amp;$Q$6&amp;"*"))</f>
        <v>0</v>
      </c>
      <c r="Q9" s="135"/>
      <c r="R9" s="136">
        <f>IF($Q$6="","",COUNTIFS(tblSeances[Enseignant prévu],"*"&amp;$Q$6&amp;"*",tblSeances[Présence prof],"&lt;&gt;Absent"))</f>
        <v>0</v>
      </c>
      <c r="S9" s="136"/>
      <c r="T9" s="137">
        <f>IF($Q$6="","",COUNTIFS(tblSeances[Enseignant prévu],"*"&amp;$Q$6&amp;"*",tblSeances[Présence prof],"Absent"))</f>
        <v>0</v>
      </c>
      <c r="U9" s="138">
        <f>IF($Q$6="","",COUNTIFS(tblSeances[Enseignant prévu],"*"&amp;$Q$6&amp;"*",tblSeances[Présence prof],"Retard"))</f>
        <v>0</v>
      </c>
      <c r="V9" s="139">
        <f>IF($Q$6="","",SUMIFS(tblSeances[Durée (h)],tblSeances[Enseignant prévu],"*"&amp;$Q$6&amp;"*",tblSeances[Présence prof],"&lt;&gt;Absent"))</f>
        <v>0</v>
      </c>
      <c r="W9" s="140">
        <f>IF($Q$6="","",IFERROR(V9/SUMIFS(tblMatieres[Volume total (h)],tblMatieres[Enseignant(s)],"*"&amp;$Q$6&amp;"*"),0))</f>
        <v>0</v>
      </c>
      <c r="X9" s="140"/>
      <c r="Y9" s="3">
        <f>IF($Q$6="","","sur "&amp;SUMIFS(tblMatieres[Volume total (h)],tblMatieres[Enseignant(s)],"*"&amp;$Q$6&amp;"*")&amp;" h prévues")</f>
        <v>0</v>
      </c>
    </row>
    <row r="10" spans="2:27" x14ac:dyDescent="0.25">
      <c r="B10" s="31">
        <f>IFERROR(INDEX(tblMatieres[Code],4),"")</f>
        <v>0</v>
      </c>
      <c r="C10" s="32">
        <f>IF($B10="","",INDEX(tblMatieres[Abrégé],4))</f>
        <v>0</v>
      </c>
      <c r="D10" s="32">
        <f>IF($B10="","",INDEX(tblMatieres[Enseignant(s)],4))</f>
        <v>0</v>
      </c>
      <c r="E10" s="30">
        <f>IF($B10="","",INDEX(tblMatieres[Volume total (h)],4))</f>
        <v>0</v>
      </c>
      <c r="F10" s="30">
        <f>IF($B10="","",COUNTIFS(tblSeances[Code matière],$B10,tblSeances[Présence prof],"&lt;&gt;Absent"))</f>
        <v>0</v>
      </c>
      <c r="G10" s="30">
        <f>IF($B10="","",COUNTIFS(tblSeances[Code matière],$B10,tblSeances[Présence prof],"Absent"))</f>
        <v>0</v>
      </c>
      <c r="H10" s="30">
        <f>IF($B10="","",COUNTIFS(tblSeances[Code matière],$B10,tblSeances[Présence prof],"Retard"))</f>
        <v>0</v>
      </c>
      <c r="I10" s="131">
        <f>IF($B10="","",SUMIFS(tblSeances[Durée (h)],tblSeances[Code matière],$B10,tblSeances[Présence prof],"&lt;&gt;Absent"))</f>
        <v>0</v>
      </c>
      <c r="J10" s="132">
        <f>IF($B10="","",MAX(0,E10-I10))</f>
        <v>0</v>
      </c>
      <c r="K10" s="124">
        <f>IF($B10="","",IF(N(E10)=0,0,I10/E10))</f>
        <v>0</v>
      </c>
      <c r="L10" s="133">
        <f>IF($B10="","",IF(COUNTIF(tblSeances[Code matière],$B10)=0,"—",_xlfn.MAXIFS(tblSeances[Date],tblSeances[Code matière],$B10)))</f>
        <v>0</v>
      </c>
      <c r="M10" s="134" cm="1">
        <f t="array" ref="M10">IF($B10="","",_xlfn.XLOOKUP($B10,tblSeances[Code matière],tblSeances[Contenu / chapitres traités],"—",0,-1)&amp;"")</f>
        <v>0</v>
      </c>
      <c r="N10" s="124">
        <f>IF($B10="","",IFERROR((COUNTIFS(tblPresences[Code matière],$B10,tblPresences[Statut],"P")+COUNTIFS(tblPresences[Code matière],$B10,tblPresences[Statut],"R"))/COUNTIFS(tblPresences[Code matière],$B10),"—"))</f>
        <v>0</v>
      </c>
    </row>
    <row r="11" spans="2:27" x14ac:dyDescent="0.25">
      <c r="B11" s="28">
        <f>IFERROR(INDEX(tblMatieres[Code],5),"")</f>
        <v>0</v>
      </c>
      <c r="C11" s="29">
        <f>IF($B11="","",INDEX(tblMatieres[Abrégé],5))</f>
        <v>0</v>
      </c>
      <c r="D11" s="29">
        <f>IF($B11="","",INDEX(tblMatieres[Enseignant(s)],5))</f>
        <v>0</v>
      </c>
      <c r="E11" s="27">
        <f>IF($B11="","",INDEX(tblMatieres[Volume total (h)],5))</f>
        <v>0</v>
      </c>
      <c r="F11" s="27">
        <f>IF($B11="","",COUNTIFS(tblSeances[Code matière],$B11,tblSeances[Présence prof],"&lt;&gt;Absent"))</f>
        <v>0</v>
      </c>
      <c r="G11" s="27">
        <f>IF($B11="","",COUNTIFS(tblSeances[Code matière],$B11,tblSeances[Présence prof],"Absent"))</f>
        <v>0</v>
      </c>
      <c r="H11" s="27">
        <f>IF($B11="","",COUNTIFS(tblSeances[Code matière],$B11,tblSeances[Présence prof],"Retard"))</f>
        <v>0</v>
      </c>
      <c r="I11" s="127">
        <f>IF($B11="","",SUMIFS(tblSeances[Durée (h)],tblSeances[Code matière],$B11,tblSeances[Présence prof],"&lt;&gt;Absent"))</f>
        <v>0</v>
      </c>
      <c r="J11" s="128">
        <f>IF($B11="","",MAX(0,E11-I11))</f>
        <v>0</v>
      </c>
      <c r="K11" s="123">
        <f>IF($B11="","",IF(N(E11)=0,0,I11/E11))</f>
        <v>0</v>
      </c>
      <c r="L11" s="129">
        <f>IF($B11="","",IF(COUNTIF(tblSeances[Code matière],$B11)=0,"—",_xlfn.MAXIFS(tblSeances[Date],tblSeances[Code matière],$B11)))</f>
        <v>0</v>
      </c>
      <c r="M11" s="130" cm="1">
        <f t="array" ref="M11">IF($B11="","",_xlfn.XLOOKUP($B11,tblSeances[Code matière],tblSeances[Contenu / chapitres traités],"—",0,-1)&amp;"")</f>
        <v>0</v>
      </c>
      <c r="N11" s="123">
        <f>IF($B11="","",IFERROR((COUNTIFS(tblPresences[Code matière],$B11,tblPresences[Statut],"P")+COUNTIFS(tblPresences[Code matière],$B11,tblPresences[Statut],"R"))/COUNTIFS(tblPresences[Code matière],$B11),"—"))</f>
        <v>0</v>
      </c>
      <c r="P11" s="103" t="s">
        <v>80</v>
      </c>
      <c r="Q11" s="103" t="s">
        <v>110</v>
      </c>
      <c r="R11" s="103" t="s">
        <v>111</v>
      </c>
      <c r="S11" s="103" t="s">
        <v>112</v>
      </c>
      <c r="T11" s="103" t="s">
        <v>205</v>
      </c>
      <c r="U11" s="103" t="s">
        <v>13</v>
      </c>
      <c r="V11" s="103" t="s">
        <v>14</v>
      </c>
      <c r="W11" s="103" t="s">
        <v>83</v>
      </c>
      <c r="X11" s="103" t="s">
        <v>197</v>
      </c>
      <c r="Y11" s="103" t="s">
        <v>206</v>
      </c>
      <c r="Z11" s="103" t="s">
        <v>142</v>
      </c>
      <c r="AA11" s="103" t="s">
        <v>207</v>
      </c>
    </row>
    <row r="12" spans="2:27" x14ac:dyDescent="0.25">
      <c r="B12" s="31">
        <f>IFERROR(INDEX(tblMatieres[Code],6),"")</f>
        <v>0</v>
      </c>
      <c r="C12" s="32">
        <f>IF($B12="","",INDEX(tblMatieres[Abrégé],6))</f>
        <v>0</v>
      </c>
      <c r="D12" s="32">
        <f>IF($B12="","",INDEX(tblMatieres[Enseignant(s)],6))</f>
        <v>0</v>
      </c>
      <c r="E12" s="30">
        <f>IF($B12="","",INDEX(tblMatieres[Volume total (h)],6))</f>
        <v>0</v>
      </c>
      <c r="F12" s="30">
        <f>IF($B12="","",COUNTIFS(tblSeances[Code matière],$B12,tblSeances[Présence prof],"&lt;&gt;Absent"))</f>
        <v>0</v>
      </c>
      <c r="G12" s="30">
        <f>IF($B12="","",COUNTIFS(tblSeances[Code matière],$B12,tblSeances[Présence prof],"Absent"))</f>
        <v>0</v>
      </c>
      <c r="H12" s="30">
        <f>IF($B12="","",COUNTIFS(tblSeances[Code matière],$B12,tblSeances[Présence prof],"Retard"))</f>
        <v>0</v>
      </c>
      <c r="I12" s="131">
        <f>IF($B12="","",SUMIFS(tblSeances[Durée (h)],tblSeances[Code matière],$B12,tblSeances[Présence prof],"&lt;&gt;Absent"))</f>
        <v>0</v>
      </c>
      <c r="J12" s="132">
        <f>IF($B12="","",MAX(0,E12-I12))</f>
        <v>0</v>
      </c>
      <c r="K12" s="124">
        <f>IF($B12="","",IF(N(E12)=0,0,I12/E12))</f>
        <v>0</v>
      </c>
      <c r="L12" s="133">
        <f>IF($B12="","",IF(COUNTIF(tblSeances[Code matière],$B12)=0,"—",_xlfn.MAXIFS(tblSeances[Date],tblSeances[Code matière],$B12)))</f>
        <v>0</v>
      </c>
      <c r="M12" s="134" cm="1">
        <f t="array" ref="M12">IF($B12="","",_xlfn.XLOOKUP($B12,tblSeances[Code matière],tblSeances[Contenu / chapitres traités],"—",0,-1)&amp;"")</f>
        <v>0</v>
      </c>
      <c r="N12" s="124">
        <f>IF($B12="","",IFERROR((COUNTIFS(tblPresences[Code matière],$B12,tblPresences[Statut],"P")+COUNTIFS(tblPresences[Code matière],$B12,tblPresences[Statut],"R"))/COUNTIFS(tblPresences[Code matière],$B12),"—"))</f>
        <v>0</v>
      </c>
      <c r="P12" cm="1">
        <f t="array" ref="P12">IF($Q$6="","",_xlfn._xlws.SORT(_xlfn._xlws.FILTER(tblSeances[[Date]:[Contenu / chapitres traités]],ISNUMBER(SEARCH($Q$6,tblSeances[Enseignant prévu]))+(tblSeances[Remplaçant ou motif]=$Q$6),"Aucune séance enregistrée pour cet enseignant"),1,-1))</f>
        <v>0</v>
      </c>
      <c r="R12" s="110"/>
      <c r="S12" s="110"/>
    </row>
    <row r="13" spans="2:27" x14ac:dyDescent="0.25">
      <c r="B13" s="28">
        <f>IFERROR(INDEX(tblMatieres[Code],7),"")</f>
        <v>0</v>
      </c>
      <c r="C13" s="29">
        <f>IF($B13="","",INDEX(tblMatieres[Abrégé],7))</f>
        <v>0</v>
      </c>
      <c r="D13" s="29">
        <f>IF($B13="","",INDEX(tblMatieres[Enseignant(s)],7))</f>
        <v>0</v>
      </c>
      <c r="E13" s="27">
        <f>IF($B13="","",INDEX(tblMatieres[Volume total (h)],7))</f>
        <v>0</v>
      </c>
      <c r="F13" s="27">
        <f>IF($B13="","",COUNTIFS(tblSeances[Code matière],$B13,tblSeances[Présence prof],"&lt;&gt;Absent"))</f>
        <v>0</v>
      </c>
      <c r="G13" s="27">
        <f>IF($B13="","",COUNTIFS(tblSeances[Code matière],$B13,tblSeances[Présence prof],"Absent"))</f>
        <v>0</v>
      </c>
      <c r="H13" s="27">
        <f>IF($B13="","",COUNTIFS(tblSeances[Code matière],$B13,tblSeances[Présence prof],"Retard"))</f>
        <v>0</v>
      </c>
      <c r="I13" s="127">
        <f>IF($B13="","",SUMIFS(tblSeances[Durée (h)],tblSeances[Code matière],$B13,tblSeances[Présence prof],"&lt;&gt;Absent"))</f>
        <v>0</v>
      </c>
      <c r="J13" s="128">
        <f>IF($B13="","",MAX(0,E13-I13))</f>
        <v>0</v>
      </c>
      <c r="K13" s="123">
        <f>IF($B13="","",IF(N(E13)=0,0,I13/E13))</f>
        <v>0</v>
      </c>
      <c r="L13" s="129">
        <f>IF($B13="","",IF(COUNTIF(tblSeances[Code matière],$B13)=0,"—",_xlfn.MAXIFS(tblSeances[Date],tblSeances[Code matière],$B13)))</f>
        <v>0</v>
      </c>
      <c r="M13" s="130" cm="1">
        <f t="array" ref="M13">IF($B13="","",_xlfn.XLOOKUP($B13,tblSeances[Code matière],tblSeances[Contenu / chapitres traités],"—",0,-1)&amp;"")</f>
        <v>0</v>
      </c>
      <c r="N13" s="123">
        <f>IF($B13="","",IFERROR((COUNTIFS(tblPresences[Code matière],$B13,tblPresences[Statut],"P")+COUNTIFS(tblPresences[Code matière],$B13,tblPresences[Statut],"R"))/COUNTIFS(tblPresences[Code matière],$B13),"—"))</f>
        <v>0</v>
      </c>
      <c r="P13" s="109"/>
      <c r="R13" s="110"/>
      <c r="S13" s="110"/>
    </row>
    <row r="14" spans="2:27" x14ac:dyDescent="0.25">
      <c r="B14" s="31">
        <f>IFERROR(INDEX(tblMatieres[Code],8),"")</f>
        <v>0</v>
      </c>
      <c r="C14" s="32">
        <f>IF($B14="","",INDEX(tblMatieres[Abrégé],8))</f>
        <v>0</v>
      </c>
      <c r="D14" s="32">
        <f>IF($B14="","",INDEX(tblMatieres[Enseignant(s)],8))</f>
        <v>0</v>
      </c>
      <c r="E14" s="30">
        <f>IF($B14="","",INDEX(tblMatieres[Volume total (h)],8))</f>
        <v>0</v>
      </c>
      <c r="F14" s="30">
        <f>IF($B14="","",COUNTIFS(tblSeances[Code matière],$B14,tblSeances[Présence prof],"&lt;&gt;Absent"))</f>
        <v>0</v>
      </c>
      <c r="G14" s="30">
        <f>IF($B14="","",COUNTIFS(tblSeances[Code matière],$B14,tblSeances[Présence prof],"Absent"))</f>
        <v>0</v>
      </c>
      <c r="H14" s="30">
        <f>IF($B14="","",COUNTIFS(tblSeances[Code matière],$B14,tblSeances[Présence prof],"Retard"))</f>
        <v>0</v>
      </c>
      <c r="I14" s="131">
        <f>IF($B14="","",SUMIFS(tblSeances[Durée (h)],tblSeances[Code matière],$B14,tblSeances[Présence prof],"&lt;&gt;Absent"))</f>
        <v>0</v>
      </c>
      <c r="J14" s="132">
        <f>IF($B14="","",MAX(0,E14-I14))</f>
        <v>0</v>
      </c>
      <c r="K14" s="124">
        <f>IF($B14="","",IF(N(E14)=0,0,I14/E14))</f>
        <v>0</v>
      </c>
      <c r="L14" s="133">
        <f>IF($B14="","",IF(COUNTIF(tblSeances[Code matière],$B14)=0,"—",_xlfn.MAXIFS(tblSeances[Date],tblSeances[Code matière],$B14)))</f>
        <v>0</v>
      </c>
      <c r="M14" s="134" cm="1">
        <f t="array" ref="M14">IF($B14="","",_xlfn.XLOOKUP($B14,tblSeances[Code matière],tblSeances[Contenu / chapitres traités],"—",0,-1)&amp;"")</f>
        <v>0</v>
      </c>
      <c r="N14" s="124">
        <f>IF($B14="","",IFERROR((COUNTIFS(tblPresences[Code matière],$B14,tblPresences[Statut],"P")+COUNTIFS(tblPresences[Code matière],$B14,tblPresences[Statut],"R"))/COUNTIFS(tblPresences[Code matière],$B14),"—"))</f>
        <v>0</v>
      </c>
      <c r="P14" s="109"/>
      <c r="R14" s="110"/>
      <c r="S14" s="110"/>
    </row>
    <row r="15" spans="2:27" x14ac:dyDescent="0.25">
      <c r="B15" s="28">
        <f>IFERROR(INDEX(tblMatieres[Code],9),"")</f>
        <v>0</v>
      </c>
      <c r="C15" s="29">
        <f>IF($B15="","",INDEX(tblMatieres[Abrégé],9))</f>
        <v>0</v>
      </c>
      <c r="D15" s="29">
        <f>IF($B15="","",INDEX(tblMatieres[Enseignant(s)],9))</f>
        <v>0</v>
      </c>
      <c r="E15" s="27">
        <f>IF($B15="","",INDEX(tblMatieres[Volume total (h)],9))</f>
        <v>0</v>
      </c>
      <c r="F15" s="27">
        <f>IF($B15="","",COUNTIFS(tblSeances[Code matière],$B15,tblSeances[Présence prof],"&lt;&gt;Absent"))</f>
        <v>0</v>
      </c>
      <c r="G15" s="27">
        <f>IF($B15="","",COUNTIFS(tblSeances[Code matière],$B15,tblSeances[Présence prof],"Absent"))</f>
        <v>0</v>
      </c>
      <c r="H15" s="27">
        <f>IF($B15="","",COUNTIFS(tblSeances[Code matière],$B15,tblSeances[Présence prof],"Retard"))</f>
        <v>0</v>
      </c>
      <c r="I15" s="127">
        <f>IF($B15="","",SUMIFS(tblSeances[Durée (h)],tblSeances[Code matière],$B15,tblSeances[Présence prof],"&lt;&gt;Absent"))</f>
        <v>0</v>
      </c>
      <c r="J15" s="128">
        <f>IF($B15="","",MAX(0,E15-I15))</f>
        <v>0</v>
      </c>
      <c r="K15" s="123">
        <f>IF($B15="","",IF(N(E15)=0,0,I15/E15))</f>
        <v>0</v>
      </c>
      <c r="L15" s="129">
        <f>IF($B15="","",IF(COUNTIF(tblSeances[Code matière],$B15)=0,"—",_xlfn.MAXIFS(tblSeances[Date],tblSeances[Code matière],$B15)))</f>
        <v>0</v>
      </c>
      <c r="M15" s="130" cm="1">
        <f t="array" ref="M15">IF($B15="","",_xlfn.XLOOKUP($B15,tblSeances[Code matière],tblSeances[Contenu / chapitres traités],"—",0,-1)&amp;"")</f>
        <v>0</v>
      </c>
      <c r="N15" s="123">
        <f>IF($B15="","",IFERROR((COUNTIFS(tblPresences[Code matière],$B15,tblPresences[Statut],"P")+COUNTIFS(tblPresences[Code matière],$B15,tblPresences[Statut],"R"))/COUNTIFS(tblPresences[Code matière],$B15),"—"))</f>
        <v>0</v>
      </c>
      <c r="P15" s="109"/>
      <c r="R15" s="110"/>
      <c r="S15" s="110"/>
    </row>
    <row r="16" spans="2:27" x14ac:dyDescent="0.25">
      <c r="B16" s="31">
        <f>IFERROR(INDEX(tblMatieres[Code],10),"")</f>
        <v>0</v>
      </c>
      <c r="C16" s="32">
        <f>IF($B16="","",INDEX(tblMatieres[Abrégé],10))</f>
        <v>0</v>
      </c>
      <c r="D16" s="32">
        <f>IF($B16="","",INDEX(tblMatieres[Enseignant(s)],10))</f>
        <v>0</v>
      </c>
      <c r="E16" s="30">
        <f>IF($B16="","",INDEX(tblMatieres[Volume total (h)],10))</f>
        <v>0</v>
      </c>
      <c r="F16" s="30">
        <f>IF($B16="","",COUNTIFS(tblSeances[Code matière],$B16,tblSeances[Présence prof],"&lt;&gt;Absent"))</f>
        <v>0</v>
      </c>
      <c r="G16" s="30">
        <f>IF($B16="","",COUNTIFS(tblSeances[Code matière],$B16,tblSeances[Présence prof],"Absent"))</f>
        <v>0</v>
      </c>
      <c r="H16" s="30">
        <f>IF($B16="","",COUNTIFS(tblSeances[Code matière],$B16,tblSeances[Présence prof],"Retard"))</f>
        <v>0</v>
      </c>
      <c r="I16" s="131">
        <f>IF($B16="","",SUMIFS(tblSeances[Durée (h)],tblSeances[Code matière],$B16,tblSeances[Présence prof],"&lt;&gt;Absent"))</f>
        <v>0</v>
      </c>
      <c r="J16" s="132">
        <f>IF($B16="","",MAX(0,E16-I16))</f>
        <v>0</v>
      </c>
      <c r="K16" s="124">
        <f>IF($B16="","",IF(N(E16)=0,0,I16/E16))</f>
        <v>0</v>
      </c>
      <c r="L16" s="133">
        <f>IF($B16="","",IF(COUNTIF(tblSeances[Code matière],$B16)=0,"—",_xlfn.MAXIFS(tblSeances[Date],tblSeances[Code matière],$B16)))</f>
        <v>0</v>
      </c>
      <c r="M16" s="134" cm="1">
        <f t="array" ref="M16">IF($B16="","",_xlfn.XLOOKUP($B16,tblSeances[Code matière],tblSeances[Contenu / chapitres traités],"—",0,-1)&amp;"")</f>
        <v>0</v>
      </c>
      <c r="N16" s="124">
        <f>IF($B16="","",IFERROR((COUNTIFS(tblPresences[Code matière],$B16,tblPresences[Statut],"P")+COUNTIFS(tblPresences[Code matière],$B16,tblPresences[Statut],"R"))/COUNTIFS(tblPresences[Code matière],$B16),"—"))</f>
        <v>0</v>
      </c>
      <c r="P16" s="109"/>
      <c r="R16" s="110"/>
      <c r="S16" s="110"/>
    </row>
    <row r="17" spans="2:19" x14ac:dyDescent="0.25">
      <c r="B17" s="28">
        <f>IFERROR(INDEX(tblMatieres[Code],11),"")</f>
        <v>0</v>
      </c>
      <c r="C17" s="29">
        <f>IF($B17="","",INDEX(tblMatieres[Abrégé],11))</f>
        <v>0</v>
      </c>
      <c r="D17" s="29">
        <f>IF($B17="","",INDEX(tblMatieres[Enseignant(s)],11))</f>
        <v>0</v>
      </c>
      <c r="E17" s="27">
        <f>IF($B17="","",INDEX(tblMatieres[Volume total (h)],11))</f>
        <v>0</v>
      </c>
      <c r="F17" s="27">
        <f>IF($B17="","",COUNTIFS(tblSeances[Code matière],$B17,tblSeances[Présence prof],"&lt;&gt;Absent"))</f>
        <v>0</v>
      </c>
      <c r="G17" s="27">
        <f>IF($B17="","",COUNTIFS(tblSeances[Code matière],$B17,tblSeances[Présence prof],"Absent"))</f>
        <v>0</v>
      </c>
      <c r="H17" s="27">
        <f>IF($B17="","",COUNTIFS(tblSeances[Code matière],$B17,tblSeances[Présence prof],"Retard"))</f>
        <v>0</v>
      </c>
      <c r="I17" s="127">
        <f>IF($B17="","",SUMIFS(tblSeances[Durée (h)],tblSeances[Code matière],$B17,tblSeances[Présence prof],"&lt;&gt;Absent"))</f>
        <v>0</v>
      </c>
      <c r="J17" s="128">
        <f>IF($B17="","",MAX(0,E17-I17))</f>
        <v>0</v>
      </c>
      <c r="K17" s="123">
        <f>IF($B17="","",IF(N(E17)=0,0,I17/E17))</f>
        <v>0</v>
      </c>
      <c r="L17" s="129">
        <f>IF($B17="","",IF(COUNTIF(tblSeances[Code matière],$B17)=0,"—",_xlfn.MAXIFS(tblSeances[Date],tblSeances[Code matière],$B17)))</f>
        <v>0</v>
      </c>
      <c r="M17" s="130" cm="1">
        <f t="array" ref="M17">IF($B17="","",_xlfn.XLOOKUP($B17,tblSeances[Code matière],tblSeances[Contenu / chapitres traités],"—",0,-1)&amp;"")</f>
        <v>0</v>
      </c>
      <c r="N17" s="123">
        <f>IF($B17="","",IFERROR((COUNTIFS(tblPresences[Code matière],$B17,tblPresences[Statut],"P")+COUNTIFS(tblPresences[Code matière],$B17,tblPresences[Statut],"R"))/COUNTIFS(tblPresences[Code matière],$B17),"—"))</f>
        <v>0</v>
      </c>
      <c r="P17" s="109"/>
      <c r="R17" s="110"/>
      <c r="S17" s="110"/>
    </row>
    <row r="18" spans="2:19" x14ac:dyDescent="0.25">
      <c r="B18" s="31">
        <f>IFERROR(INDEX(tblMatieres[Code],12),"")</f>
        <v>0</v>
      </c>
      <c r="C18" s="32">
        <f>IF($B18="","",INDEX(tblMatieres[Abrégé],12))</f>
        <v>0</v>
      </c>
      <c r="D18" s="32">
        <f>IF($B18="","",INDEX(tblMatieres[Enseignant(s)],12))</f>
        <v>0</v>
      </c>
      <c r="E18" s="30">
        <f>IF($B18="","",INDEX(tblMatieres[Volume total (h)],12))</f>
        <v>0</v>
      </c>
      <c r="F18" s="30">
        <f>IF($B18="","",COUNTIFS(tblSeances[Code matière],$B18,tblSeances[Présence prof],"&lt;&gt;Absent"))</f>
        <v>0</v>
      </c>
      <c r="G18" s="30">
        <f>IF($B18="","",COUNTIFS(tblSeances[Code matière],$B18,tblSeances[Présence prof],"Absent"))</f>
        <v>0</v>
      </c>
      <c r="H18" s="30">
        <f>IF($B18="","",COUNTIFS(tblSeances[Code matière],$B18,tblSeances[Présence prof],"Retard"))</f>
        <v>0</v>
      </c>
      <c r="I18" s="131">
        <f>IF($B18="","",SUMIFS(tblSeances[Durée (h)],tblSeances[Code matière],$B18,tblSeances[Présence prof],"&lt;&gt;Absent"))</f>
        <v>0</v>
      </c>
      <c r="J18" s="132">
        <f>IF($B18="","",MAX(0,E18-I18))</f>
        <v>0</v>
      </c>
      <c r="K18" s="124">
        <f>IF($B18="","",IF(N(E18)=0,0,I18/E18))</f>
        <v>0</v>
      </c>
      <c r="L18" s="133">
        <f>IF($B18="","",IF(COUNTIF(tblSeances[Code matière],$B18)=0,"—",_xlfn.MAXIFS(tblSeances[Date],tblSeances[Code matière],$B18)))</f>
        <v>0</v>
      </c>
      <c r="M18" s="134" cm="1">
        <f t="array" ref="M18">IF($B18="","",_xlfn.XLOOKUP($B18,tblSeances[Code matière],tblSeances[Contenu / chapitres traités],"—",0,-1)&amp;"")</f>
        <v>0</v>
      </c>
      <c r="N18" s="124">
        <f>IF($B18="","",IFERROR((COUNTIFS(tblPresences[Code matière],$B18,tblPresences[Statut],"P")+COUNTIFS(tblPresences[Code matière],$B18,tblPresences[Statut],"R"))/COUNTIFS(tblPresences[Code matière],$B18),"—"))</f>
        <v>0</v>
      </c>
      <c r="P18" s="109"/>
      <c r="R18" s="110"/>
      <c r="S18" s="110"/>
    </row>
    <row r="19" spans="2:19" x14ac:dyDescent="0.25">
      <c r="B19" s="28">
        <f>IFERROR(INDEX(tblMatieres[Code],13),"")</f>
        <v>0</v>
      </c>
      <c r="C19" s="29">
        <f>IF($B19="","",INDEX(tblMatieres[Abrégé],13))</f>
        <v>0</v>
      </c>
      <c r="D19" s="29">
        <f>IF($B19="","",INDEX(tblMatieres[Enseignant(s)],13))</f>
        <v>0</v>
      </c>
      <c r="E19" s="27">
        <f>IF($B19="","",INDEX(tblMatieres[Volume total (h)],13))</f>
        <v>0</v>
      </c>
      <c r="F19" s="27">
        <f>IF($B19="","",COUNTIFS(tblSeances[Code matière],$B19,tblSeances[Présence prof],"&lt;&gt;Absent"))</f>
        <v>0</v>
      </c>
      <c r="G19" s="27">
        <f>IF($B19="","",COUNTIFS(tblSeances[Code matière],$B19,tblSeances[Présence prof],"Absent"))</f>
        <v>0</v>
      </c>
      <c r="H19" s="27">
        <f>IF($B19="","",COUNTIFS(tblSeances[Code matière],$B19,tblSeances[Présence prof],"Retard"))</f>
        <v>0</v>
      </c>
      <c r="I19" s="127">
        <f>IF($B19="","",SUMIFS(tblSeances[Durée (h)],tblSeances[Code matière],$B19,tblSeances[Présence prof],"&lt;&gt;Absent"))</f>
        <v>0</v>
      </c>
      <c r="J19" s="128">
        <f>IF($B19="","",MAX(0,E19-I19))</f>
        <v>0</v>
      </c>
      <c r="K19" s="123">
        <f>IF($B19="","",IF(N(E19)=0,0,I19/E19))</f>
        <v>0</v>
      </c>
      <c r="L19" s="129">
        <f>IF($B19="","",IF(COUNTIF(tblSeances[Code matière],$B19)=0,"—",_xlfn.MAXIFS(tblSeances[Date],tblSeances[Code matière],$B19)))</f>
        <v>0</v>
      </c>
      <c r="M19" s="130" cm="1">
        <f t="array" ref="M19">IF($B19="","",_xlfn.XLOOKUP($B19,tblSeances[Code matière],tblSeances[Contenu / chapitres traités],"—",0,-1)&amp;"")</f>
        <v>0</v>
      </c>
      <c r="N19" s="123">
        <f>IF($B19="","",IFERROR((COUNTIFS(tblPresences[Code matière],$B19,tblPresences[Statut],"P")+COUNTIFS(tblPresences[Code matière],$B19,tblPresences[Statut],"R"))/COUNTIFS(tblPresences[Code matière],$B19),"—"))</f>
        <v>0</v>
      </c>
      <c r="P19" s="109"/>
      <c r="R19" s="110"/>
      <c r="S19" s="110"/>
    </row>
    <row r="20" spans="2:19" x14ac:dyDescent="0.25">
      <c r="B20" s="31">
        <f>IFERROR(INDEX(tblMatieres[Code],14),"")</f>
        <v>0</v>
      </c>
      <c r="C20" s="32">
        <f>IF($B20="","",INDEX(tblMatieres[Abrégé],14))</f>
        <v>0</v>
      </c>
      <c r="D20" s="32">
        <f>IF($B20="","",INDEX(tblMatieres[Enseignant(s)],14))</f>
        <v>0</v>
      </c>
      <c r="E20" s="30">
        <f>IF($B20="","",INDEX(tblMatieres[Volume total (h)],14))</f>
        <v>0</v>
      </c>
      <c r="F20" s="30">
        <f>IF($B20="","",COUNTIFS(tblSeances[Code matière],$B20,tblSeances[Présence prof],"&lt;&gt;Absent"))</f>
        <v>0</v>
      </c>
      <c r="G20" s="30">
        <f>IF($B20="","",COUNTIFS(tblSeances[Code matière],$B20,tblSeances[Présence prof],"Absent"))</f>
        <v>0</v>
      </c>
      <c r="H20" s="30">
        <f>IF($B20="","",COUNTIFS(tblSeances[Code matière],$B20,tblSeances[Présence prof],"Retard"))</f>
        <v>0</v>
      </c>
      <c r="I20" s="131">
        <f>IF($B20="","",SUMIFS(tblSeances[Durée (h)],tblSeances[Code matière],$B20,tblSeances[Présence prof],"&lt;&gt;Absent"))</f>
        <v>0</v>
      </c>
      <c r="J20" s="132">
        <f>IF($B20="","",MAX(0,E20-I20))</f>
        <v>0</v>
      </c>
      <c r="K20" s="124">
        <f>IF($B20="","",IF(N(E20)=0,0,I20/E20))</f>
        <v>0</v>
      </c>
      <c r="L20" s="133">
        <f>IF($B20="","",IF(COUNTIF(tblSeances[Code matière],$B20)=0,"—",_xlfn.MAXIFS(tblSeances[Date],tblSeances[Code matière],$B20)))</f>
        <v>0</v>
      </c>
      <c r="M20" s="134" cm="1">
        <f t="array" ref="M20">IF($B20="","",_xlfn.XLOOKUP($B20,tblSeances[Code matière],tblSeances[Contenu / chapitres traités],"—",0,-1)&amp;"")</f>
        <v>0</v>
      </c>
      <c r="N20" s="124">
        <f>IF($B20="","",IFERROR((COUNTIFS(tblPresences[Code matière],$B20,tblPresences[Statut],"P")+COUNTIFS(tblPresences[Code matière],$B20,tblPresences[Statut],"R"))/COUNTIFS(tblPresences[Code matière],$B20),"—"))</f>
        <v>0</v>
      </c>
      <c r="P20" s="109"/>
      <c r="R20" s="110"/>
      <c r="S20" s="110"/>
    </row>
    <row r="21" spans="2:19" x14ac:dyDescent="0.25">
      <c r="B21" s="28">
        <f>IFERROR(INDEX(tblMatieres[Code],15),"")</f>
        <v>0</v>
      </c>
      <c r="C21" s="29">
        <f>IF($B21="","",INDEX(tblMatieres[Abrégé],15))</f>
        <v>0</v>
      </c>
      <c r="D21" s="29">
        <f>IF($B21="","",INDEX(tblMatieres[Enseignant(s)],15))</f>
        <v>0</v>
      </c>
      <c r="E21" s="27">
        <f>IF($B21="","",INDEX(tblMatieres[Volume total (h)],15))</f>
        <v>0</v>
      </c>
      <c r="F21" s="27">
        <f>IF($B21="","",COUNTIFS(tblSeances[Code matière],$B21,tblSeances[Présence prof],"&lt;&gt;Absent"))</f>
        <v>0</v>
      </c>
      <c r="G21" s="27">
        <f>IF($B21="","",COUNTIFS(tblSeances[Code matière],$B21,tblSeances[Présence prof],"Absent"))</f>
        <v>0</v>
      </c>
      <c r="H21" s="27">
        <f>IF($B21="","",COUNTIFS(tblSeances[Code matière],$B21,tblSeances[Présence prof],"Retard"))</f>
        <v>0</v>
      </c>
      <c r="I21" s="127">
        <f>IF($B21="","",SUMIFS(tblSeances[Durée (h)],tblSeances[Code matière],$B21,tblSeances[Présence prof],"&lt;&gt;Absent"))</f>
        <v>0</v>
      </c>
      <c r="J21" s="128">
        <f>IF($B21="","",MAX(0,E21-I21))</f>
        <v>0</v>
      </c>
      <c r="K21" s="123">
        <f>IF($B21="","",IF(N(E21)=0,0,I21/E21))</f>
        <v>0</v>
      </c>
      <c r="L21" s="129">
        <f>IF($B21="","",IF(COUNTIF(tblSeances[Code matière],$B21)=0,"—",_xlfn.MAXIFS(tblSeances[Date],tblSeances[Code matière],$B21)))</f>
        <v>0</v>
      </c>
      <c r="M21" s="130" cm="1">
        <f t="array" ref="M21">IF($B21="","",_xlfn.XLOOKUP($B21,tblSeances[Code matière],tblSeances[Contenu / chapitres traités],"—",0,-1)&amp;"")</f>
        <v>0</v>
      </c>
      <c r="N21" s="123">
        <f>IF($B21="","",IFERROR((COUNTIFS(tblPresences[Code matière],$B21,tblPresences[Statut],"P")+COUNTIFS(tblPresences[Code matière],$B21,tblPresences[Statut],"R"))/COUNTIFS(tblPresences[Code matière],$B21),"—"))</f>
        <v>0</v>
      </c>
      <c r="P21" s="109"/>
      <c r="R21" s="110"/>
      <c r="S21" s="110"/>
    </row>
    <row r="22" spans="2:19" x14ac:dyDescent="0.25">
      <c r="P22" s="109"/>
      <c r="R22" s="110"/>
      <c r="S22" s="110"/>
    </row>
    <row r="23" spans="2:19" x14ac:dyDescent="0.25">
      <c r="P23" s="109"/>
      <c r="R23" s="110"/>
      <c r="S23" s="110"/>
    </row>
    <row r="24" spans="2:19" x14ac:dyDescent="0.25">
      <c r="B24" s="125" t="s">
        <v>196</v>
      </c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P24" s="109"/>
      <c r="R24" s="110"/>
      <c r="S24" s="110"/>
    </row>
    <row r="25" spans="2:19" x14ac:dyDescent="0.25">
      <c r="B25" s="26" t="s">
        <v>80</v>
      </c>
      <c r="C25" s="26" t="s">
        <v>110</v>
      </c>
      <c r="D25" s="26" t="s">
        <v>111</v>
      </c>
      <c r="E25" s="26" t="s">
        <v>112</v>
      </c>
      <c r="F25" s="26" t="s">
        <v>113</v>
      </c>
      <c r="G25" s="26" t="s">
        <v>13</v>
      </c>
      <c r="H25" s="26" t="s">
        <v>14</v>
      </c>
      <c r="I25" s="26" t="s">
        <v>83</v>
      </c>
      <c r="J25" s="26" t="s">
        <v>197</v>
      </c>
      <c r="K25" s="26" t="s">
        <v>116</v>
      </c>
      <c r="P25" s="109"/>
      <c r="R25" s="110"/>
      <c r="S25" s="110"/>
    </row>
    <row r="26" spans="2:19" x14ac:dyDescent="0.25">
      <c r="B26" cm="1">
        <f t="array" ref="B26">_xlfn._xlws.FILTER(tblSeances[[Date]:[Remplaçant ou motif]],(tblSeances[Présence prof]&lt;&gt;"Présent")*(tblSeances[Présence prof]&lt;&gt;""),"Aucune absence ni retard d'enseignant enregistré")</f>
        <v>0</v>
      </c>
      <c r="D26" s="141"/>
      <c r="E26" s="141"/>
      <c r="P26" s="109"/>
      <c r="R26" s="110"/>
      <c r="S26" s="110"/>
    </row>
    <row r="27" spans="2:19" x14ac:dyDescent="0.25">
      <c r="B27" s="142"/>
      <c r="D27" s="141"/>
      <c r="E27" s="141"/>
      <c r="P27" s="109"/>
      <c r="R27" s="110"/>
      <c r="S27" s="110"/>
    </row>
    <row r="28" spans="2:19" x14ac:dyDescent="0.25">
      <c r="B28" s="142"/>
      <c r="D28" s="141"/>
      <c r="E28" s="141"/>
      <c r="P28" s="109"/>
      <c r="R28" s="110"/>
      <c r="S28" s="110"/>
    </row>
    <row r="29" spans="2:19" x14ac:dyDescent="0.25">
      <c r="B29" s="142"/>
      <c r="D29" s="141"/>
      <c r="E29" s="141"/>
      <c r="P29" s="109"/>
      <c r="R29" s="110"/>
      <c r="S29" s="110"/>
    </row>
    <row r="30" spans="2:19" x14ac:dyDescent="0.25">
      <c r="B30" s="142"/>
      <c r="D30" s="141"/>
      <c r="E30" s="141"/>
      <c r="P30" s="109"/>
      <c r="R30" s="110"/>
      <c r="S30" s="110"/>
    </row>
    <row r="31" spans="2:19" x14ac:dyDescent="0.25">
      <c r="B31" s="142"/>
      <c r="D31" s="141"/>
      <c r="E31" s="141"/>
      <c r="P31" s="109"/>
      <c r="R31" s="110"/>
      <c r="S31" s="110"/>
    </row>
    <row r="32" spans="2:19" x14ac:dyDescent="0.25">
      <c r="B32" s="142"/>
      <c r="D32" s="141"/>
      <c r="E32" s="141"/>
      <c r="P32" s="109"/>
      <c r="R32" s="110"/>
      <c r="S32" s="110"/>
    </row>
    <row r="33" spans="2:19" x14ac:dyDescent="0.25">
      <c r="B33" s="142"/>
      <c r="D33" s="141"/>
      <c r="E33" s="141"/>
      <c r="P33" s="109"/>
      <c r="R33" s="110"/>
      <c r="S33" s="110"/>
    </row>
    <row r="34" spans="2:19" x14ac:dyDescent="0.25">
      <c r="B34" s="142"/>
      <c r="D34" s="141"/>
      <c r="E34" s="141"/>
      <c r="P34" s="109"/>
      <c r="R34" s="110"/>
      <c r="S34" s="110"/>
    </row>
    <row r="35" spans="2:19" x14ac:dyDescent="0.25">
      <c r="B35" s="142"/>
      <c r="D35" s="141"/>
      <c r="E35" s="141"/>
      <c r="P35" s="109"/>
      <c r="R35" s="110"/>
      <c r="S35" s="110"/>
    </row>
    <row r="36" spans="2:19" x14ac:dyDescent="0.25">
      <c r="B36" s="142"/>
      <c r="D36" s="141"/>
      <c r="E36" s="141"/>
      <c r="P36" s="109"/>
      <c r="R36" s="110"/>
      <c r="S36" s="110"/>
    </row>
    <row r="37" spans="2:19" x14ac:dyDescent="0.25">
      <c r="B37" s="142"/>
      <c r="D37" s="141"/>
      <c r="E37" s="141"/>
      <c r="P37" s="109"/>
      <c r="R37" s="110"/>
      <c r="S37" s="110"/>
    </row>
    <row r="38" spans="2:19" x14ac:dyDescent="0.25">
      <c r="B38" s="142"/>
      <c r="D38" s="141"/>
      <c r="E38" s="141"/>
      <c r="P38" s="109"/>
      <c r="R38" s="110"/>
      <c r="S38" s="110"/>
    </row>
    <row r="39" spans="2:19" x14ac:dyDescent="0.25">
      <c r="B39" s="142"/>
      <c r="D39" s="141"/>
      <c r="E39" s="141"/>
      <c r="P39" s="109"/>
      <c r="R39" s="110"/>
      <c r="S39" s="110"/>
    </row>
    <row r="40" spans="2:19" x14ac:dyDescent="0.25">
      <c r="B40" s="142"/>
      <c r="D40" s="141"/>
      <c r="E40" s="141"/>
      <c r="P40" s="109"/>
      <c r="R40" s="110"/>
      <c r="S40" s="110"/>
    </row>
    <row r="41" spans="2:19" x14ac:dyDescent="0.25">
      <c r="B41" s="142"/>
      <c r="D41" s="141"/>
      <c r="E41" s="141"/>
      <c r="P41" s="109"/>
      <c r="R41" s="110"/>
      <c r="S41" s="110"/>
    </row>
    <row r="42" spans="2:19" x14ac:dyDescent="0.25">
      <c r="B42" s="142"/>
      <c r="D42" s="141"/>
      <c r="E42" s="141"/>
      <c r="P42" s="109"/>
      <c r="R42" s="110"/>
      <c r="S42" s="110"/>
    </row>
    <row r="43" spans="2:19" x14ac:dyDescent="0.25">
      <c r="B43" s="142"/>
      <c r="D43" s="141"/>
      <c r="E43" s="141"/>
      <c r="P43" s="109"/>
      <c r="R43" s="110"/>
      <c r="S43" s="110"/>
    </row>
    <row r="44" spans="2:19" x14ac:dyDescent="0.25">
      <c r="B44" s="142"/>
      <c r="D44" s="141"/>
      <c r="E44" s="141"/>
      <c r="P44" s="109"/>
      <c r="R44" s="110"/>
      <c r="S44" s="110"/>
    </row>
    <row r="45" spans="2:19" x14ac:dyDescent="0.25">
      <c r="B45" s="142"/>
      <c r="D45" s="141"/>
      <c r="E45" s="141"/>
      <c r="P45" s="109"/>
      <c r="R45" s="110"/>
      <c r="S45" s="110"/>
    </row>
    <row r="46" spans="2:19" x14ac:dyDescent="0.25">
      <c r="B46" s="142"/>
      <c r="D46" s="141"/>
      <c r="E46" s="141"/>
      <c r="P46" s="109"/>
      <c r="R46" s="110"/>
      <c r="S46" s="110"/>
    </row>
    <row r="47" spans="2:19" x14ac:dyDescent="0.25">
      <c r="B47" s="142"/>
      <c r="D47" s="141"/>
      <c r="E47" s="141"/>
      <c r="P47" s="109"/>
      <c r="R47" s="110"/>
      <c r="S47" s="110"/>
    </row>
    <row r="48" spans="2:19" x14ac:dyDescent="0.25">
      <c r="B48" s="142"/>
      <c r="D48" s="141"/>
      <c r="E48" s="141"/>
      <c r="P48" s="109"/>
      <c r="R48" s="110"/>
      <c r="S48" s="110"/>
    </row>
    <row r="49" spans="2:19" x14ac:dyDescent="0.25">
      <c r="B49" s="142"/>
      <c r="D49" s="141"/>
      <c r="E49" s="141"/>
      <c r="P49" s="109"/>
      <c r="R49" s="110"/>
      <c r="S49" s="110"/>
    </row>
    <row r="50" spans="2:19" x14ac:dyDescent="0.25">
      <c r="B50" s="142"/>
      <c r="D50" s="141"/>
      <c r="E50" s="141"/>
      <c r="P50" s="109"/>
      <c r="R50" s="110"/>
      <c r="S50" s="110"/>
    </row>
    <row r="51" spans="2:19" x14ac:dyDescent="0.25">
      <c r="B51" s="142"/>
      <c r="D51" s="141"/>
      <c r="E51" s="141"/>
      <c r="P51" s="109"/>
      <c r="R51" s="110"/>
      <c r="S51" s="110"/>
    </row>
    <row r="52" spans="2:19" x14ac:dyDescent="0.25">
      <c r="B52" s="142"/>
      <c r="D52" s="141"/>
      <c r="E52" s="141"/>
      <c r="P52" s="109"/>
      <c r="R52" s="110"/>
      <c r="S52" s="110"/>
    </row>
    <row r="53" spans="2:19" x14ac:dyDescent="0.25">
      <c r="B53" s="142"/>
      <c r="D53" s="141"/>
      <c r="E53" s="141"/>
      <c r="P53" s="109"/>
      <c r="R53" s="110"/>
      <c r="S53" s="110"/>
    </row>
    <row r="54" spans="2:19" x14ac:dyDescent="0.25">
      <c r="B54" s="142"/>
      <c r="D54" s="141"/>
      <c r="E54" s="141"/>
      <c r="P54" s="109"/>
      <c r="R54" s="110"/>
      <c r="S54" s="110"/>
    </row>
    <row r="55" spans="2:19" x14ac:dyDescent="0.25">
      <c r="B55" s="142"/>
      <c r="D55" s="141"/>
      <c r="E55" s="141"/>
      <c r="P55" s="109"/>
      <c r="R55" s="110"/>
      <c r="S55" s="110"/>
    </row>
    <row r="56" spans="2:19" x14ac:dyDescent="0.25">
      <c r="B56" s="142"/>
      <c r="D56" s="141"/>
      <c r="E56" s="141"/>
      <c r="P56" s="109"/>
      <c r="R56" s="110"/>
      <c r="S56" s="110"/>
    </row>
    <row r="57" spans="2:19" x14ac:dyDescent="0.25">
      <c r="B57" s="142"/>
      <c r="D57" s="141"/>
      <c r="E57" s="141"/>
      <c r="P57" s="109"/>
      <c r="R57" s="110"/>
      <c r="S57" s="110"/>
    </row>
    <row r="58" spans="2:19" x14ac:dyDescent="0.25">
      <c r="B58" s="142"/>
      <c r="D58" s="141"/>
      <c r="E58" s="141"/>
      <c r="P58" s="109"/>
      <c r="R58" s="110"/>
      <c r="S58" s="110"/>
    </row>
    <row r="59" spans="2:19" x14ac:dyDescent="0.25">
      <c r="B59" s="142"/>
      <c r="D59" s="141"/>
      <c r="E59" s="141"/>
      <c r="P59" s="109"/>
      <c r="R59" s="110"/>
      <c r="S59" s="110"/>
    </row>
    <row r="60" spans="2:19" x14ac:dyDescent="0.25">
      <c r="B60" s="142"/>
      <c r="D60" s="141"/>
      <c r="E60" s="141"/>
      <c r="P60" s="109"/>
      <c r="R60" s="110"/>
      <c r="S60" s="110"/>
    </row>
    <row r="61" spans="2:19" x14ac:dyDescent="0.25">
      <c r="B61" s="142"/>
      <c r="D61" s="141"/>
      <c r="E61" s="141"/>
      <c r="P61" s="109"/>
      <c r="R61" s="110"/>
      <c r="S61" s="110"/>
    </row>
    <row r="62" spans="2:19" x14ac:dyDescent="0.25">
      <c r="B62" s="142"/>
      <c r="D62" s="141"/>
      <c r="E62" s="141"/>
      <c r="P62" s="109"/>
      <c r="R62" s="110"/>
      <c r="S62" s="110"/>
    </row>
    <row r="63" spans="2:19" x14ac:dyDescent="0.25">
      <c r="B63" s="142"/>
      <c r="D63" s="141"/>
      <c r="E63" s="141"/>
      <c r="P63" s="109"/>
      <c r="R63" s="110"/>
      <c r="S63" s="110"/>
    </row>
    <row r="64" spans="2:19" x14ac:dyDescent="0.25">
      <c r="B64" s="142"/>
      <c r="D64" s="141"/>
      <c r="E64" s="141"/>
      <c r="P64" s="109"/>
      <c r="R64" s="110"/>
      <c r="S64" s="110"/>
    </row>
    <row r="65" spans="2:19" x14ac:dyDescent="0.25">
      <c r="B65" s="142"/>
      <c r="D65" s="141"/>
      <c r="E65" s="141"/>
      <c r="P65" s="109"/>
      <c r="R65" s="110"/>
      <c r="S65" s="110"/>
    </row>
    <row r="66" spans="2:19" x14ac:dyDescent="0.25">
      <c r="B66" s="142"/>
      <c r="D66" s="141"/>
      <c r="E66" s="141"/>
      <c r="P66" s="109"/>
      <c r="R66" s="110"/>
      <c r="S66" s="110"/>
    </row>
    <row r="67" spans="2:19" x14ac:dyDescent="0.25">
      <c r="B67" s="142"/>
      <c r="D67" s="141"/>
      <c r="E67" s="141"/>
      <c r="P67" s="109"/>
      <c r="R67" s="110"/>
      <c r="S67" s="110"/>
    </row>
    <row r="68" spans="2:19" x14ac:dyDescent="0.25">
      <c r="B68" s="142"/>
      <c r="D68" s="141"/>
      <c r="E68" s="141"/>
      <c r="P68" s="109"/>
      <c r="R68" s="110"/>
      <c r="S68" s="110"/>
    </row>
    <row r="69" spans="2:19" x14ac:dyDescent="0.25">
      <c r="B69" s="142"/>
      <c r="D69" s="141"/>
      <c r="E69" s="141"/>
      <c r="P69" s="109"/>
      <c r="R69" s="110"/>
      <c r="S69" s="110"/>
    </row>
    <row r="70" spans="2:19" x14ac:dyDescent="0.25">
      <c r="B70" s="142"/>
      <c r="D70" s="141"/>
      <c r="E70" s="141"/>
      <c r="P70" s="109"/>
      <c r="R70" s="110"/>
      <c r="S70" s="110"/>
    </row>
    <row r="71" spans="2:19" x14ac:dyDescent="0.25">
      <c r="B71" s="142"/>
      <c r="D71" s="141"/>
      <c r="E71" s="141"/>
      <c r="P71" s="109"/>
      <c r="R71" s="110"/>
      <c r="S71" s="110"/>
    </row>
    <row r="72" spans="2:19" x14ac:dyDescent="0.25">
      <c r="B72" s="142"/>
      <c r="D72" s="141"/>
      <c r="E72" s="141"/>
      <c r="P72" s="109"/>
      <c r="R72" s="110"/>
      <c r="S72" s="110"/>
    </row>
    <row r="73" spans="2:19" x14ac:dyDescent="0.25">
      <c r="B73" s="142"/>
      <c r="D73" s="141"/>
      <c r="E73" s="141"/>
      <c r="P73" s="109"/>
      <c r="R73" s="110"/>
      <c r="S73" s="110"/>
    </row>
    <row r="74" spans="2:19" x14ac:dyDescent="0.25">
      <c r="B74" s="142"/>
      <c r="D74" s="141"/>
      <c r="E74" s="141"/>
      <c r="P74" s="109"/>
      <c r="R74" s="110"/>
      <c r="S74" s="110"/>
    </row>
    <row r="75" spans="2:19" x14ac:dyDescent="0.25">
      <c r="B75" s="142"/>
      <c r="D75" s="141"/>
      <c r="E75" s="141"/>
      <c r="P75" s="109"/>
      <c r="R75" s="110"/>
      <c r="S75" s="110"/>
    </row>
    <row r="76" spans="2:19" x14ac:dyDescent="0.25">
      <c r="B76" s="142"/>
      <c r="D76" s="141"/>
      <c r="E76" s="141"/>
      <c r="P76" s="109"/>
      <c r="R76" s="110"/>
      <c r="S76" s="110"/>
    </row>
    <row r="77" spans="2:19" x14ac:dyDescent="0.25">
      <c r="B77" s="142"/>
      <c r="D77" s="141"/>
      <c r="E77" s="141"/>
      <c r="P77" s="109"/>
      <c r="R77" s="110"/>
      <c r="S77" s="110"/>
    </row>
    <row r="78" spans="2:19" x14ac:dyDescent="0.25">
      <c r="B78" s="142"/>
      <c r="D78" s="141"/>
      <c r="E78" s="141"/>
      <c r="P78" s="109"/>
      <c r="R78" s="110"/>
      <c r="S78" s="110"/>
    </row>
    <row r="79" spans="2:19" x14ac:dyDescent="0.25">
      <c r="B79" s="142"/>
      <c r="D79" s="141"/>
      <c r="E79" s="141"/>
      <c r="P79" s="109"/>
      <c r="R79" s="110"/>
      <c r="S79" s="110"/>
    </row>
    <row r="80" spans="2:19" x14ac:dyDescent="0.25">
      <c r="B80" s="142"/>
      <c r="D80" s="141"/>
      <c r="E80" s="141"/>
      <c r="P80" s="109"/>
      <c r="R80" s="110"/>
      <c r="S80" s="110"/>
    </row>
    <row r="81" spans="2:19" x14ac:dyDescent="0.25">
      <c r="B81" s="142"/>
      <c r="D81" s="141"/>
      <c r="E81" s="141"/>
      <c r="P81" s="109"/>
      <c r="R81" s="110"/>
      <c r="S81" s="110"/>
    </row>
    <row r="82" spans="2:19" x14ac:dyDescent="0.25">
      <c r="B82" s="142"/>
      <c r="D82" s="141"/>
      <c r="E82" s="141"/>
      <c r="P82" s="109"/>
      <c r="R82" s="110"/>
      <c r="S82" s="110"/>
    </row>
    <row r="83" spans="2:19" x14ac:dyDescent="0.25">
      <c r="B83" s="142"/>
      <c r="D83" s="141"/>
      <c r="E83" s="141"/>
      <c r="P83" s="109"/>
      <c r="R83" s="110"/>
      <c r="S83" s="110"/>
    </row>
    <row r="84" spans="2:19" x14ac:dyDescent="0.25">
      <c r="B84" s="142"/>
      <c r="D84" s="141"/>
      <c r="E84" s="141"/>
      <c r="P84" s="109"/>
      <c r="R84" s="110"/>
      <c r="S84" s="110"/>
    </row>
    <row r="85" spans="2:19" x14ac:dyDescent="0.25">
      <c r="B85" s="142"/>
      <c r="D85" s="141"/>
      <c r="E85" s="141"/>
      <c r="P85" s="109"/>
      <c r="R85" s="110"/>
      <c r="S85" s="110"/>
    </row>
    <row r="86" spans="2:19" x14ac:dyDescent="0.25">
      <c r="B86" s="142"/>
      <c r="D86" s="141"/>
      <c r="E86" s="141"/>
      <c r="P86" s="109"/>
      <c r="R86" s="110"/>
      <c r="S86" s="110"/>
    </row>
    <row r="87" spans="2:19" x14ac:dyDescent="0.25">
      <c r="B87" s="142"/>
      <c r="D87" s="141"/>
      <c r="E87" s="141"/>
      <c r="P87" s="109"/>
      <c r="R87" s="110"/>
      <c r="S87" s="110"/>
    </row>
    <row r="88" spans="2:19" x14ac:dyDescent="0.25">
      <c r="B88" s="142"/>
      <c r="D88" s="141"/>
      <c r="E88" s="141"/>
      <c r="P88" s="109"/>
      <c r="R88" s="110"/>
      <c r="S88" s="110"/>
    </row>
    <row r="89" spans="2:19" x14ac:dyDescent="0.25">
      <c r="B89" s="142"/>
      <c r="D89" s="141"/>
      <c r="E89" s="141"/>
      <c r="P89" s="109"/>
      <c r="R89" s="110"/>
      <c r="S89" s="110"/>
    </row>
    <row r="90" spans="2:19" x14ac:dyDescent="0.25">
      <c r="B90" s="142"/>
      <c r="D90" s="141"/>
      <c r="E90" s="141"/>
      <c r="P90" s="109"/>
      <c r="R90" s="110"/>
      <c r="S90" s="110"/>
    </row>
    <row r="91" spans="2:19" x14ac:dyDescent="0.25">
      <c r="B91" s="142"/>
      <c r="D91" s="141"/>
      <c r="E91" s="141"/>
      <c r="P91" s="109"/>
      <c r="R91" s="110"/>
      <c r="S91" s="110"/>
    </row>
    <row r="92" spans="2:19" x14ac:dyDescent="0.25">
      <c r="B92" s="142"/>
      <c r="D92" s="141"/>
      <c r="E92" s="141"/>
      <c r="P92" s="109"/>
      <c r="R92" s="110"/>
      <c r="S92" s="110"/>
    </row>
    <row r="93" spans="2:19" x14ac:dyDescent="0.25">
      <c r="B93" s="142"/>
      <c r="D93" s="141"/>
      <c r="E93" s="141"/>
      <c r="P93" s="109"/>
      <c r="R93" s="110"/>
      <c r="S93" s="110"/>
    </row>
    <row r="94" spans="2:19" x14ac:dyDescent="0.25">
      <c r="B94" s="142"/>
      <c r="D94" s="141"/>
      <c r="E94" s="141"/>
      <c r="P94" s="109"/>
      <c r="R94" s="110"/>
      <c r="S94" s="110"/>
    </row>
    <row r="95" spans="2:19" x14ac:dyDescent="0.25">
      <c r="B95" s="142"/>
      <c r="D95" s="141"/>
      <c r="E95" s="141"/>
      <c r="P95" s="109"/>
      <c r="R95" s="110"/>
      <c r="S95" s="110"/>
    </row>
    <row r="96" spans="2:19" x14ac:dyDescent="0.25">
      <c r="B96" s="142"/>
      <c r="D96" s="141"/>
      <c r="E96" s="141"/>
      <c r="P96" s="109"/>
      <c r="R96" s="110"/>
      <c r="S96" s="110"/>
    </row>
    <row r="97" spans="2:19" x14ac:dyDescent="0.25">
      <c r="B97" s="142"/>
      <c r="D97" s="141"/>
      <c r="E97" s="141"/>
      <c r="P97" s="109"/>
      <c r="R97" s="110"/>
      <c r="S97" s="110"/>
    </row>
    <row r="98" spans="2:19" x14ac:dyDescent="0.25">
      <c r="B98" s="142"/>
      <c r="D98" s="141"/>
      <c r="E98" s="141"/>
      <c r="P98" s="109"/>
      <c r="R98" s="110"/>
      <c r="S98" s="110"/>
    </row>
    <row r="99" spans="2:19" x14ac:dyDescent="0.25">
      <c r="B99" s="142"/>
      <c r="D99" s="141"/>
      <c r="E99" s="141"/>
      <c r="P99" s="109"/>
      <c r="R99" s="110"/>
      <c r="S99" s="110"/>
    </row>
    <row r="100" spans="2:19" x14ac:dyDescent="0.25">
      <c r="B100" s="142"/>
      <c r="D100" s="141"/>
      <c r="E100" s="141"/>
      <c r="P100" s="109"/>
      <c r="R100" s="110"/>
      <c r="S100" s="110"/>
    </row>
    <row r="101" spans="2:19" x14ac:dyDescent="0.25">
      <c r="B101" s="142"/>
      <c r="D101" s="141"/>
      <c r="E101" s="141"/>
      <c r="P101" s="109"/>
      <c r="R101" s="110"/>
      <c r="S101" s="110"/>
    </row>
    <row r="102" spans="2:19" x14ac:dyDescent="0.25">
      <c r="B102" s="142"/>
      <c r="D102" s="141"/>
      <c r="E102" s="141"/>
      <c r="P102" s="109"/>
      <c r="R102" s="110"/>
      <c r="S102" s="110"/>
    </row>
    <row r="103" spans="2:19" x14ac:dyDescent="0.25">
      <c r="B103" s="142"/>
      <c r="D103" s="141"/>
      <c r="E103" s="141"/>
      <c r="P103" s="109"/>
      <c r="R103" s="110"/>
      <c r="S103" s="110"/>
    </row>
    <row r="104" spans="2:19" x14ac:dyDescent="0.25">
      <c r="B104" s="142"/>
      <c r="D104" s="141"/>
      <c r="E104" s="141"/>
      <c r="P104" s="109"/>
      <c r="R104" s="110"/>
      <c r="S104" s="110"/>
    </row>
    <row r="105" spans="2:19" x14ac:dyDescent="0.25">
      <c r="B105" s="142"/>
      <c r="D105" s="141"/>
      <c r="E105" s="141"/>
      <c r="P105" s="109"/>
      <c r="R105" s="110"/>
      <c r="S105" s="110"/>
    </row>
    <row r="106" spans="2:19" x14ac:dyDescent="0.25">
      <c r="B106" s="142"/>
      <c r="D106" s="141"/>
      <c r="E106" s="141"/>
      <c r="P106" s="109"/>
      <c r="R106" s="110"/>
      <c r="S106" s="110"/>
    </row>
    <row r="107" spans="2:19" x14ac:dyDescent="0.25">
      <c r="B107" s="142"/>
      <c r="D107" s="141"/>
      <c r="E107" s="141"/>
      <c r="P107" s="109"/>
      <c r="R107" s="110"/>
      <c r="S107" s="110"/>
    </row>
    <row r="108" spans="2:19" x14ac:dyDescent="0.25">
      <c r="B108" s="142"/>
      <c r="D108" s="141"/>
      <c r="E108" s="141"/>
      <c r="P108" s="109"/>
      <c r="R108" s="110"/>
      <c r="S108" s="110"/>
    </row>
    <row r="109" spans="2:19" x14ac:dyDescent="0.25">
      <c r="B109" s="142"/>
      <c r="D109" s="141"/>
      <c r="E109" s="141"/>
      <c r="P109" s="109"/>
      <c r="R109" s="110"/>
      <c r="S109" s="110"/>
    </row>
    <row r="110" spans="2:19" x14ac:dyDescent="0.25">
      <c r="B110" s="142"/>
      <c r="D110" s="141"/>
      <c r="E110" s="141"/>
      <c r="P110" s="109"/>
      <c r="R110" s="110"/>
      <c r="S110" s="110"/>
    </row>
    <row r="111" spans="2:19" x14ac:dyDescent="0.25">
      <c r="B111" s="142"/>
      <c r="D111" s="141"/>
      <c r="E111" s="141"/>
      <c r="P111" s="109"/>
      <c r="R111" s="110"/>
      <c r="S111" s="110"/>
    </row>
    <row r="112" spans="2:19" x14ac:dyDescent="0.25">
      <c r="B112" s="142"/>
      <c r="D112" s="141"/>
      <c r="E112" s="141"/>
      <c r="P112" s="109"/>
      <c r="R112" s="110"/>
      <c r="S112" s="110"/>
    </row>
    <row r="113" spans="2:19" x14ac:dyDescent="0.25">
      <c r="B113" s="142"/>
      <c r="D113" s="141"/>
      <c r="E113" s="141"/>
      <c r="P113" s="109"/>
      <c r="R113" s="110"/>
      <c r="S113" s="110"/>
    </row>
    <row r="114" spans="2:19" x14ac:dyDescent="0.25">
      <c r="B114" s="142"/>
      <c r="D114" s="141"/>
      <c r="E114" s="141"/>
      <c r="P114" s="109"/>
      <c r="R114" s="110"/>
      <c r="S114" s="110"/>
    </row>
    <row r="115" spans="2:19" x14ac:dyDescent="0.25">
      <c r="B115" s="142"/>
      <c r="D115" s="141"/>
      <c r="E115" s="141"/>
      <c r="P115" s="109"/>
      <c r="R115" s="110"/>
      <c r="S115" s="110"/>
    </row>
    <row r="116" spans="2:19" x14ac:dyDescent="0.25">
      <c r="B116" s="142"/>
      <c r="D116" s="141"/>
      <c r="E116" s="141"/>
      <c r="P116" s="109"/>
      <c r="R116" s="110"/>
      <c r="S116" s="110"/>
    </row>
    <row r="117" spans="2:19" x14ac:dyDescent="0.25">
      <c r="B117" s="142"/>
      <c r="D117" s="141"/>
      <c r="E117" s="141"/>
      <c r="P117" s="109"/>
      <c r="R117" s="110"/>
      <c r="S117" s="110"/>
    </row>
    <row r="118" spans="2:19" x14ac:dyDescent="0.25">
      <c r="B118" s="142"/>
      <c r="D118" s="141"/>
      <c r="E118" s="141"/>
      <c r="P118" s="109"/>
      <c r="R118" s="110"/>
      <c r="S118" s="110"/>
    </row>
    <row r="119" spans="2:19" x14ac:dyDescent="0.25">
      <c r="B119" s="142"/>
      <c r="D119" s="141"/>
      <c r="E119" s="141"/>
      <c r="P119" s="109"/>
      <c r="R119" s="110"/>
      <c r="S119" s="110"/>
    </row>
    <row r="120" spans="2:19" x14ac:dyDescent="0.25">
      <c r="B120" s="142"/>
      <c r="D120" s="141"/>
      <c r="E120" s="141"/>
      <c r="P120" s="109"/>
      <c r="R120" s="110"/>
      <c r="S120" s="110"/>
    </row>
    <row r="121" spans="2:19" x14ac:dyDescent="0.25">
      <c r="B121" s="142"/>
      <c r="D121" s="141"/>
      <c r="E121" s="141"/>
      <c r="P121" s="109"/>
      <c r="R121" s="110"/>
      <c r="S121" s="110"/>
    </row>
    <row r="122" spans="2:19" x14ac:dyDescent="0.25">
      <c r="B122" s="142"/>
      <c r="D122" s="141"/>
      <c r="E122" s="141"/>
      <c r="P122" s="109"/>
      <c r="R122" s="110"/>
      <c r="S122" s="110"/>
    </row>
    <row r="123" spans="2:19" x14ac:dyDescent="0.25">
      <c r="B123" s="142"/>
      <c r="D123" s="141"/>
      <c r="E123" s="141"/>
      <c r="P123" s="109"/>
      <c r="R123" s="110"/>
      <c r="S123" s="110"/>
    </row>
    <row r="124" spans="2:19" x14ac:dyDescent="0.25">
      <c r="B124" s="142"/>
      <c r="D124" s="141"/>
      <c r="E124" s="141"/>
      <c r="P124" s="109"/>
      <c r="R124" s="110"/>
      <c r="S124" s="110"/>
    </row>
    <row r="125" spans="2:19" x14ac:dyDescent="0.25">
      <c r="B125" s="142"/>
      <c r="D125" s="141"/>
      <c r="E125" s="141"/>
      <c r="P125" s="109"/>
      <c r="R125" s="110"/>
      <c r="S125" s="110"/>
    </row>
    <row r="126" spans="2:19" x14ac:dyDescent="0.25">
      <c r="B126" s="142"/>
      <c r="D126" s="141"/>
      <c r="E126" s="141"/>
      <c r="P126" s="109"/>
      <c r="R126" s="110"/>
      <c r="S126" s="110"/>
    </row>
    <row r="127" spans="2:19" x14ac:dyDescent="0.25">
      <c r="B127" s="142"/>
      <c r="D127" s="141"/>
      <c r="E127" s="141"/>
      <c r="P127" s="109"/>
      <c r="R127" s="110"/>
      <c r="S127" s="110"/>
    </row>
    <row r="128" spans="2:19" x14ac:dyDescent="0.25">
      <c r="B128" s="142"/>
      <c r="D128" s="141"/>
      <c r="E128" s="141"/>
      <c r="P128" s="109"/>
      <c r="R128" s="110"/>
      <c r="S128" s="110"/>
    </row>
    <row r="129" spans="2:19" x14ac:dyDescent="0.25">
      <c r="B129" s="142"/>
      <c r="D129" s="141"/>
      <c r="E129" s="141"/>
      <c r="P129" s="109"/>
      <c r="R129" s="110"/>
      <c r="S129" s="110"/>
    </row>
    <row r="130" spans="2:19" x14ac:dyDescent="0.25">
      <c r="B130" s="142"/>
      <c r="D130" s="141"/>
      <c r="E130" s="141"/>
      <c r="P130" s="109"/>
      <c r="R130" s="110"/>
      <c r="S130" s="110"/>
    </row>
    <row r="131" spans="2:19" x14ac:dyDescent="0.25">
      <c r="B131" s="142"/>
      <c r="D131" s="141"/>
      <c r="E131" s="141"/>
      <c r="P131" s="109"/>
      <c r="R131" s="110"/>
      <c r="S131" s="110"/>
    </row>
    <row r="132" spans="2:19" x14ac:dyDescent="0.25">
      <c r="B132" s="142"/>
      <c r="D132" s="141"/>
      <c r="E132" s="141"/>
      <c r="P132" s="109"/>
      <c r="R132" s="110"/>
      <c r="S132" s="110"/>
    </row>
    <row r="133" spans="2:19" x14ac:dyDescent="0.25">
      <c r="B133" s="142"/>
      <c r="D133" s="141"/>
      <c r="E133" s="141"/>
      <c r="P133" s="109"/>
      <c r="R133" s="110"/>
      <c r="S133" s="110"/>
    </row>
    <row r="134" spans="2:19" x14ac:dyDescent="0.25">
      <c r="B134" s="142"/>
      <c r="D134" s="141"/>
      <c r="E134" s="141"/>
      <c r="P134" s="109"/>
      <c r="R134" s="110"/>
      <c r="S134" s="110"/>
    </row>
    <row r="135" spans="2:19" x14ac:dyDescent="0.25">
      <c r="B135" s="142"/>
      <c r="D135" s="141"/>
      <c r="E135" s="141"/>
      <c r="P135" s="109"/>
      <c r="R135" s="110"/>
      <c r="S135" s="110"/>
    </row>
    <row r="136" spans="2:19" x14ac:dyDescent="0.25">
      <c r="B136" s="142"/>
      <c r="D136" s="141"/>
      <c r="E136" s="141"/>
      <c r="P136" s="109"/>
      <c r="R136" s="110"/>
      <c r="S136" s="110"/>
    </row>
    <row r="137" spans="2:19" x14ac:dyDescent="0.25">
      <c r="B137" s="142"/>
      <c r="D137" s="141"/>
      <c r="E137" s="141"/>
      <c r="P137" s="109"/>
      <c r="R137" s="110"/>
      <c r="S137" s="110"/>
    </row>
    <row r="138" spans="2:19" x14ac:dyDescent="0.25">
      <c r="B138" s="142"/>
      <c r="D138" s="141"/>
      <c r="E138" s="141"/>
      <c r="P138" s="109"/>
      <c r="R138" s="110"/>
      <c r="S138" s="110"/>
    </row>
    <row r="139" spans="2:19" x14ac:dyDescent="0.25">
      <c r="B139" s="142"/>
      <c r="D139" s="141"/>
      <c r="E139" s="141"/>
      <c r="P139" s="109"/>
      <c r="R139" s="110"/>
      <c r="S139" s="110"/>
    </row>
    <row r="140" spans="2:19" x14ac:dyDescent="0.25">
      <c r="B140" s="142"/>
      <c r="D140" s="141"/>
      <c r="E140" s="141"/>
      <c r="P140" s="109"/>
      <c r="R140" s="110"/>
      <c r="S140" s="110"/>
    </row>
    <row r="141" spans="2:19" x14ac:dyDescent="0.25">
      <c r="B141" s="142"/>
      <c r="D141" s="141"/>
      <c r="E141" s="141"/>
      <c r="P141" s="109"/>
      <c r="R141" s="110"/>
      <c r="S141" s="110"/>
    </row>
    <row r="142" spans="2:19" x14ac:dyDescent="0.25">
      <c r="B142" s="142"/>
      <c r="D142" s="141"/>
      <c r="E142" s="141"/>
      <c r="P142" s="109"/>
      <c r="R142" s="110"/>
      <c r="S142" s="110"/>
    </row>
    <row r="143" spans="2:19" x14ac:dyDescent="0.25">
      <c r="B143" s="142"/>
      <c r="D143" s="141"/>
      <c r="E143" s="141"/>
      <c r="P143" s="109"/>
      <c r="R143" s="110"/>
      <c r="S143" s="110"/>
    </row>
    <row r="144" spans="2:19" x14ac:dyDescent="0.25">
      <c r="B144" s="142"/>
      <c r="D144" s="141"/>
      <c r="E144" s="141"/>
      <c r="P144" s="109"/>
      <c r="R144" s="110"/>
      <c r="S144" s="110"/>
    </row>
    <row r="145" spans="2:19" x14ac:dyDescent="0.25">
      <c r="B145" s="142"/>
      <c r="D145" s="141"/>
      <c r="E145" s="141"/>
      <c r="P145" s="109"/>
      <c r="R145" s="110"/>
      <c r="S145" s="110"/>
    </row>
    <row r="146" spans="2:19" x14ac:dyDescent="0.25">
      <c r="B146" s="142"/>
      <c r="D146" s="141"/>
      <c r="E146" s="141"/>
      <c r="P146" s="109"/>
      <c r="R146" s="110"/>
      <c r="S146" s="110"/>
    </row>
    <row r="147" spans="2:19" x14ac:dyDescent="0.25">
      <c r="B147" s="142"/>
      <c r="D147" s="141"/>
      <c r="E147" s="141"/>
      <c r="P147" s="109"/>
      <c r="R147" s="110"/>
      <c r="S147" s="110"/>
    </row>
    <row r="148" spans="2:19" x14ac:dyDescent="0.25">
      <c r="B148" s="142"/>
      <c r="D148" s="141"/>
      <c r="E148" s="141"/>
      <c r="P148" s="109"/>
      <c r="R148" s="110"/>
      <c r="S148" s="110"/>
    </row>
    <row r="149" spans="2:19" x14ac:dyDescent="0.25">
      <c r="B149" s="142"/>
      <c r="D149" s="141"/>
      <c r="E149" s="141"/>
      <c r="P149" s="109"/>
      <c r="R149" s="110"/>
      <c r="S149" s="110"/>
    </row>
    <row r="150" spans="2:19" x14ac:dyDescent="0.25">
      <c r="B150" s="142"/>
      <c r="D150" s="141"/>
      <c r="E150" s="141"/>
      <c r="P150" s="109"/>
      <c r="R150" s="110"/>
      <c r="S150" s="110"/>
    </row>
    <row r="151" spans="2:19" x14ac:dyDescent="0.25">
      <c r="B151" s="142"/>
      <c r="D151" s="141"/>
      <c r="E151" s="141"/>
      <c r="P151" s="109"/>
      <c r="R151" s="110"/>
      <c r="S151" s="110"/>
    </row>
    <row r="152" spans="2:19" x14ac:dyDescent="0.25">
      <c r="B152" s="142"/>
      <c r="D152" s="141"/>
      <c r="E152" s="141"/>
      <c r="P152" s="109"/>
      <c r="R152" s="110"/>
      <c r="S152" s="110"/>
    </row>
    <row r="153" spans="2:19" x14ac:dyDescent="0.25">
      <c r="B153" s="142"/>
      <c r="D153" s="141"/>
      <c r="E153" s="141"/>
      <c r="P153" s="109"/>
      <c r="R153" s="110"/>
      <c r="S153" s="110"/>
    </row>
    <row r="154" spans="2:19" x14ac:dyDescent="0.25">
      <c r="B154" s="142"/>
      <c r="D154" s="141"/>
      <c r="E154" s="141"/>
      <c r="P154" s="109"/>
      <c r="R154" s="110"/>
      <c r="S154" s="110"/>
    </row>
    <row r="155" spans="2:19" x14ac:dyDescent="0.25">
      <c r="B155" s="142"/>
      <c r="D155" s="141"/>
      <c r="E155" s="141"/>
      <c r="P155" s="109"/>
      <c r="R155" s="110"/>
      <c r="S155" s="110"/>
    </row>
    <row r="156" spans="2:19" x14ac:dyDescent="0.25">
      <c r="B156" s="142"/>
      <c r="D156" s="141"/>
      <c r="E156" s="141"/>
      <c r="P156" s="109"/>
      <c r="R156" s="110"/>
      <c r="S156" s="110"/>
    </row>
    <row r="157" spans="2:19" x14ac:dyDescent="0.25">
      <c r="B157" s="142"/>
      <c r="D157" s="141"/>
      <c r="E157" s="141"/>
      <c r="P157" s="109"/>
      <c r="R157" s="110"/>
      <c r="S157" s="110"/>
    </row>
    <row r="158" spans="2:19" x14ac:dyDescent="0.25">
      <c r="B158" s="142"/>
      <c r="D158" s="141"/>
      <c r="E158" s="141"/>
      <c r="P158" s="109"/>
      <c r="R158" s="110"/>
      <c r="S158" s="110"/>
    </row>
    <row r="159" spans="2:19" x14ac:dyDescent="0.25">
      <c r="B159" s="142"/>
      <c r="D159" s="141"/>
      <c r="E159" s="141"/>
      <c r="P159" s="109"/>
      <c r="R159" s="110"/>
      <c r="S159" s="110"/>
    </row>
    <row r="160" spans="2:19" x14ac:dyDescent="0.25">
      <c r="B160" s="142"/>
      <c r="D160" s="141"/>
      <c r="E160" s="141"/>
      <c r="P160" s="109"/>
      <c r="R160" s="110"/>
      <c r="S160" s="110"/>
    </row>
    <row r="161" spans="2:19" x14ac:dyDescent="0.25">
      <c r="B161" s="142"/>
      <c r="D161" s="141"/>
      <c r="E161" s="141"/>
      <c r="P161" s="109"/>
      <c r="R161" s="110"/>
      <c r="S161" s="110"/>
    </row>
    <row r="162" spans="2:19" x14ac:dyDescent="0.25">
      <c r="B162" s="142"/>
      <c r="D162" s="141"/>
      <c r="E162" s="141"/>
      <c r="P162" s="109"/>
      <c r="R162" s="110"/>
      <c r="S162" s="110"/>
    </row>
    <row r="163" spans="2:19" x14ac:dyDescent="0.25">
      <c r="B163" s="142"/>
      <c r="D163" s="141"/>
      <c r="E163" s="141"/>
      <c r="P163" s="109"/>
      <c r="R163" s="110"/>
      <c r="S163" s="110"/>
    </row>
    <row r="164" spans="2:19" x14ac:dyDescent="0.25">
      <c r="B164" s="142"/>
      <c r="D164" s="141"/>
      <c r="E164" s="141"/>
      <c r="P164" s="109"/>
      <c r="R164" s="110"/>
      <c r="S164" s="110"/>
    </row>
    <row r="165" spans="2:19" x14ac:dyDescent="0.25">
      <c r="B165" s="142"/>
      <c r="D165" s="141"/>
      <c r="E165" s="141"/>
      <c r="P165" s="109"/>
      <c r="R165" s="110"/>
      <c r="S165" s="110"/>
    </row>
    <row r="166" spans="2:19" x14ac:dyDescent="0.25">
      <c r="B166" s="142"/>
      <c r="D166" s="141"/>
      <c r="E166" s="141"/>
      <c r="P166" s="109"/>
      <c r="R166" s="110"/>
      <c r="S166" s="110"/>
    </row>
    <row r="167" spans="2:19" x14ac:dyDescent="0.25">
      <c r="B167" s="142"/>
      <c r="D167" s="141"/>
      <c r="E167" s="141"/>
      <c r="P167" s="109"/>
      <c r="R167" s="110"/>
      <c r="S167" s="110"/>
    </row>
    <row r="168" spans="2:19" x14ac:dyDescent="0.25">
      <c r="B168" s="142"/>
      <c r="D168" s="141"/>
      <c r="E168" s="141"/>
      <c r="P168" s="109"/>
      <c r="R168" s="110"/>
      <c r="S168" s="110"/>
    </row>
    <row r="169" spans="2:19" x14ac:dyDescent="0.25">
      <c r="B169" s="142"/>
      <c r="D169" s="141"/>
      <c r="E169" s="141"/>
      <c r="P169" s="109"/>
      <c r="R169" s="110"/>
      <c r="S169" s="110"/>
    </row>
    <row r="170" spans="2:19" x14ac:dyDescent="0.25">
      <c r="B170" s="142"/>
      <c r="D170" s="141"/>
      <c r="E170" s="141"/>
      <c r="P170" s="109"/>
      <c r="R170" s="110"/>
      <c r="S170" s="110"/>
    </row>
    <row r="171" spans="2:19" x14ac:dyDescent="0.25">
      <c r="B171" s="142"/>
      <c r="D171" s="141"/>
      <c r="E171" s="141"/>
      <c r="P171" s="109"/>
      <c r="R171" s="110"/>
      <c r="S171" s="110"/>
    </row>
    <row r="172" spans="2:19" x14ac:dyDescent="0.25">
      <c r="B172" s="142"/>
      <c r="D172" s="141"/>
      <c r="E172" s="141"/>
      <c r="P172" s="109"/>
      <c r="R172" s="110"/>
      <c r="S172" s="110"/>
    </row>
    <row r="173" spans="2:19" x14ac:dyDescent="0.25">
      <c r="B173" s="142"/>
      <c r="D173" s="141"/>
      <c r="E173" s="141"/>
      <c r="P173" s="109"/>
      <c r="R173" s="110"/>
      <c r="S173" s="110"/>
    </row>
    <row r="174" spans="2:19" x14ac:dyDescent="0.25">
      <c r="B174" s="142"/>
      <c r="D174" s="141"/>
      <c r="E174" s="141"/>
      <c r="P174" s="109"/>
      <c r="R174" s="110"/>
      <c r="S174" s="110"/>
    </row>
    <row r="175" spans="2:19" x14ac:dyDescent="0.25">
      <c r="B175" s="142"/>
      <c r="D175" s="141"/>
      <c r="E175" s="141"/>
      <c r="P175" s="109"/>
      <c r="R175" s="110"/>
      <c r="S175" s="110"/>
    </row>
    <row r="176" spans="2:19" x14ac:dyDescent="0.25">
      <c r="B176" s="142"/>
      <c r="D176" s="141"/>
      <c r="E176" s="141"/>
      <c r="P176" s="109"/>
      <c r="R176" s="110"/>
      <c r="S176" s="110"/>
    </row>
    <row r="177" spans="2:19" x14ac:dyDescent="0.25">
      <c r="B177" s="142"/>
      <c r="D177" s="141"/>
      <c r="E177" s="141"/>
      <c r="P177" s="109"/>
      <c r="R177" s="110"/>
      <c r="S177" s="110"/>
    </row>
    <row r="178" spans="2:19" x14ac:dyDescent="0.25">
      <c r="B178" s="142"/>
      <c r="D178" s="141"/>
      <c r="E178" s="141"/>
      <c r="P178" s="109"/>
      <c r="R178" s="110"/>
      <c r="S178" s="110"/>
    </row>
    <row r="179" spans="2:19" x14ac:dyDescent="0.25">
      <c r="B179" s="142"/>
      <c r="D179" s="141"/>
      <c r="E179" s="141"/>
      <c r="P179" s="109"/>
      <c r="R179" s="110"/>
      <c r="S179" s="110"/>
    </row>
    <row r="180" spans="2:19" x14ac:dyDescent="0.25">
      <c r="B180" s="142"/>
      <c r="D180" s="141"/>
      <c r="E180" s="141"/>
      <c r="P180" s="109"/>
      <c r="R180" s="110"/>
      <c r="S180" s="110"/>
    </row>
    <row r="181" spans="2:19" x14ac:dyDescent="0.25">
      <c r="B181" s="142"/>
      <c r="D181" s="141"/>
      <c r="E181" s="141"/>
      <c r="P181" s="109"/>
      <c r="R181" s="110"/>
      <c r="S181" s="110"/>
    </row>
    <row r="182" spans="2:19" x14ac:dyDescent="0.25">
      <c r="B182" s="142"/>
      <c r="D182" s="141"/>
      <c r="E182" s="141"/>
      <c r="P182" s="109"/>
      <c r="R182" s="110"/>
      <c r="S182" s="110"/>
    </row>
    <row r="183" spans="2:19" x14ac:dyDescent="0.25">
      <c r="B183" s="142"/>
      <c r="D183" s="141"/>
      <c r="E183" s="141"/>
      <c r="P183" s="109"/>
      <c r="R183" s="110"/>
      <c r="S183" s="110"/>
    </row>
    <row r="184" spans="2:19" x14ac:dyDescent="0.25">
      <c r="B184" s="142"/>
      <c r="D184" s="141"/>
      <c r="E184" s="141"/>
      <c r="P184" s="109"/>
      <c r="R184" s="110"/>
      <c r="S184" s="110"/>
    </row>
    <row r="185" spans="2:19" x14ac:dyDescent="0.25">
      <c r="B185" s="142"/>
      <c r="D185" s="141"/>
      <c r="E185" s="141"/>
      <c r="P185" s="109"/>
      <c r="R185" s="110"/>
      <c r="S185" s="110"/>
    </row>
    <row r="186" spans="2:19" x14ac:dyDescent="0.25">
      <c r="B186" s="142"/>
      <c r="D186" s="141"/>
      <c r="E186" s="141"/>
      <c r="P186" s="109"/>
      <c r="R186" s="110"/>
      <c r="S186" s="110"/>
    </row>
    <row r="187" spans="2:19" x14ac:dyDescent="0.25">
      <c r="B187" s="142"/>
      <c r="D187" s="141"/>
      <c r="E187" s="141"/>
      <c r="P187" s="109"/>
      <c r="R187" s="110"/>
      <c r="S187" s="110"/>
    </row>
    <row r="188" spans="2:19" x14ac:dyDescent="0.25">
      <c r="B188" s="142"/>
      <c r="D188" s="141"/>
      <c r="E188" s="141"/>
      <c r="P188" s="109"/>
      <c r="R188" s="110"/>
      <c r="S188" s="110"/>
    </row>
    <row r="189" spans="2:19" x14ac:dyDescent="0.25">
      <c r="B189" s="142"/>
      <c r="D189" s="141"/>
      <c r="E189" s="141"/>
      <c r="P189" s="109"/>
      <c r="R189" s="110"/>
      <c r="S189" s="110"/>
    </row>
    <row r="190" spans="2:19" x14ac:dyDescent="0.25">
      <c r="B190" s="142"/>
      <c r="D190" s="141"/>
      <c r="E190" s="141"/>
      <c r="P190" s="109"/>
      <c r="R190" s="110"/>
      <c r="S190" s="110"/>
    </row>
    <row r="191" spans="2:19" x14ac:dyDescent="0.25">
      <c r="B191" s="142"/>
      <c r="D191" s="141"/>
      <c r="E191" s="141"/>
      <c r="P191" s="109"/>
      <c r="R191" s="110"/>
      <c r="S191" s="110"/>
    </row>
    <row r="192" spans="2:19" x14ac:dyDescent="0.25">
      <c r="B192" s="142"/>
      <c r="D192" s="141"/>
      <c r="E192" s="141"/>
      <c r="P192" s="109"/>
      <c r="R192" s="110"/>
      <c r="S192" s="110"/>
    </row>
    <row r="193" spans="2:19" x14ac:dyDescent="0.25">
      <c r="B193" s="142"/>
      <c r="D193" s="141"/>
      <c r="E193" s="141"/>
      <c r="P193" s="109"/>
      <c r="R193" s="110"/>
      <c r="S193" s="110"/>
    </row>
    <row r="194" spans="2:19" x14ac:dyDescent="0.25">
      <c r="B194" s="142"/>
      <c r="D194" s="141"/>
      <c r="E194" s="141"/>
      <c r="P194" s="109"/>
      <c r="R194" s="110"/>
      <c r="S194" s="110"/>
    </row>
    <row r="195" spans="2:19" x14ac:dyDescent="0.25">
      <c r="B195" s="142"/>
      <c r="D195" s="141"/>
      <c r="E195" s="141"/>
      <c r="P195" s="109"/>
      <c r="R195" s="110"/>
      <c r="S195" s="110"/>
    </row>
    <row r="196" spans="2:19" x14ac:dyDescent="0.25">
      <c r="B196" s="142"/>
      <c r="D196" s="141"/>
      <c r="E196" s="141"/>
      <c r="P196" s="109"/>
      <c r="R196" s="110"/>
      <c r="S196" s="110"/>
    </row>
    <row r="197" spans="2:19" x14ac:dyDescent="0.25">
      <c r="B197" s="142"/>
      <c r="D197" s="141"/>
      <c r="E197" s="141"/>
      <c r="P197" s="109"/>
      <c r="R197" s="110"/>
      <c r="S197" s="110"/>
    </row>
    <row r="198" spans="2:19" x14ac:dyDescent="0.25">
      <c r="B198" s="142"/>
      <c r="D198" s="141"/>
      <c r="E198" s="141"/>
      <c r="P198" s="109"/>
      <c r="R198" s="110"/>
      <c r="S198" s="110"/>
    </row>
    <row r="199" spans="2:19" x14ac:dyDescent="0.25">
      <c r="B199" s="142"/>
      <c r="D199" s="141"/>
      <c r="E199" s="141"/>
      <c r="P199" s="109"/>
      <c r="R199" s="110"/>
      <c r="S199" s="110"/>
    </row>
    <row r="200" spans="2:19" x14ac:dyDescent="0.25">
      <c r="B200" s="142"/>
      <c r="D200" s="141"/>
      <c r="E200" s="141"/>
      <c r="P200" s="109"/>
      <c r="R200" s="110"/>
      <c r="S200" s="110"/>
    </row>
    <row r="201" spans="2:19" x14ac:dyDescent="0.25">
      <c r="B201" s="142"/>
      <c r="D201" s="141"/>
      <c r="E201" s="141"/>
      <c r="P201" s="109"/>
      <c r="R201" s="110"/>
      <c r="S201" s="110"/>
    </row>
    <row r="202" spans="2:19" x14ac:dyDescent="0.25">
      <c r="B202" s="142"/>
      <c r="D202" s="141"/>
      <c r="E202" s="141"/>
      <c r="P202" s="109"/>
      <c r="R202" s="110"/>
      <c r="S202" s="110"/>
    </row>
    <row r="203" spans="2:19" x14ac:dyDescent="0.25">
      <c r="B203" s="142"/>
      <c r="D203" s="141"/>
      <c r="E203" s="141"/>
      <c r="P203" s="109"/>
      <c r="R203" s="110"/>
      <c r="S203" s="110"/>
    </row>
    <row r="204" spans="2:19" x14ac:dyDescent="0.25">
      <c r="B204" s="142"/>
      <c r="D204" s="141"/>
      <c r="E204" s="141"/>
      <c r="P204" s="109"/>
      <c r="R204" s="110"/>
      <c r="S204" s="110"/>
    </row>
    <row r="205" spans="2:19" x14ac:dyDescent="0.25">
      <c r="B205" s="142"/>
      <c r="D205" s="141"/>
      <c r="E205" s="141"/>
      <c r="P205" s="109"/>
      <c r="R205" s="110"/>
      <c r="S205" s="110"/>
    </row>
    <row r="206" spans="2:19" x14ac:dyDescent="0.25">
      <c r="B206" s="142"/>
      <c r="D206" s="141"/>
      <c r="E206" s="141"/>
      <c r="P206" s="109"/>
      <c r="R206" s="110"/>
      <c r="S206" s="110"/>
    </row>
    <row r="207" spans="2:19" x14ac:dyDescent="0.25">
      <c r="B207" s="142"/>
      <c r="D207" s="141"/>
      <c r="E207" s="141"/>
      <c r="P207" s="109"/>
      <c r="R207" s="110"/>
      <c r="S207" s="110"/>
    </row>
    <row r="208" spans="2:19" x14ac:dyDescent="0.25">
      <c r="B208" s="142"/>
      <c r="D208" s="141"/>
      <c r="E208" s="141"/>
      <c r="P208" s="109"/>
      <c r="R208" s="110"/>
      <c r="S208" s="110"/>
    </row>
    <row r="209" spans="2:19" x14ac:dyDescent="0.25">
      <c r="B209" s="142"/>
      <c r="D209" s="141"/>
      <c r="E209" s="141"/>
      <c r="P209" s="109"/>
      <c r="R209" s="110"/>
      <c r="S209" s="110"/>
    </row>
    <row r="210" spans="2:19" x14ac:dyDescent="0.25">
      <c r="B210" s="142"/>
      <c r="D210" s="141"/>
      <c r="E210" s="141"/>
      <c r="P210" s="109"/>
      <c r="R210" s="110"/>
      <c r="S210" s="110"/>
    </row>
    <row r="211" spans="2:19" x14ac:dyDescent="0.25">
      <c r="B211" s="142"/>
      <c r="D211" s="141"/>
      <c r="E211" s="141"/>
      <c r="P211" s="109"/>
      <c r="R211" s="110"/>
      <c r="S211" s="110"/>
    </row>
    <row r="212" spans="2:19" x14ac:dyDescent="0.25">
      <c r="B212" s="142"/>
      <c r="D212" s="141"/>
      <c r="E212" s="141"/>
      <c r="P212" s="109"/>
      <c r="R212" s="110"/>
      <c r="S212" s="110"/>
    </row>
    <row r="213" spans="2:19" x14ac:dyDescent="0.25">
      <c r="B213" s="142"/>
      <c r="D213" s="141"/>
      <c r="E213" s="141"/>
      <c r="P213" s="109"/>
      <c r="R213" s="110"/>
      <c r="S213" s="110"/>
    </row>
    <row r="214" spans="2:19" x14ac:dyDescent="0.25">
      <c r="B214" s="142"/>
      <c r="D214" s="141"/>
      <c r="E214" s="141"/>
      <c r="P214" s="109"/>
      <c r="R214" s="110"/>
      <c r="S214" s="110"/>
    </row>
    <row r="215" spans="2:19" x14ac:dyDescent="0.25">
      <c r="B215" s="142"/>
      <c r="D215" s="141"/>
      <c r="E215" s="141"/>
      <c r="P215" s="109"/>
      <c r="R215" s="110"/>
      <c r="S215" s="110"/>
    </row>
    <row r="216" spans="2:19" x14ac:dyDescent="0.25">
      <c r="B216" s="142"/>
      <c r="D216" s="141"/>
      <c r="E216" s="141"/>
      <c r="P216" s="109"/>
      <c r="R216" s="110"/>
      <c r="S216" s="110"/>
    </row>
    <row r="217" spans="2:19" x14ac:dyDescent="0.25">
      <c r="B217" s="142"/>
      <c r="D217" s="141"/>
      <c r="E217" s="141"/>
      <c r="P217" s="109"/>
      <c r="R217" s="110"/>
      <c r="S217" s="110"/>
    </row>
    <row r="218" spans="2:19" x14ac:dyDescent="0.25">
      <c r="B218" s="142"/>
      <c r="D218" s="141"/>
      <c r="E218" s="141"/>
      <c r="P218" s="109"/>
      <c r="R218" s="110"/>
      <c r="S218" s="110"/>
    </row>
    <row r="219" spans="2:19" x14ac:dyDescent="0.25">
      <c r="B219" s="142"/>
      <c r="D219" s="141"/>
      <c r="E219" s="141"/>
      <c r="P219" s="109"/>
      <c r="R219" s="110"/>
      <c r="S219" s="110"/>
    </row>
    <row r="220" spans="2:19" x14ac:dyDescent="0.25">
      <c r="B220" s="142"/>
      <c r="D220" s="141"/>
      <c r="E220" s="141"/>
      <c r="P220" s="109"/>
      <c r="R220" s="110"/>
      <c r="S220" s="110"/>
    </row>
    <row r="221" spans="2:19" x14ac:dyDescent="0.25">
      <c r="B221" s="142"/>
      <c r="D221" s="141"/>
      <c r="E221" s="141"/>
      <c r="P221" s="109"/>
      <c r="R221" s="110"/>
      <c r="S221" s="110"/>
    </row>
    <row r="222" spans="2:19" x14ac:dyDescent="0.25">
      <c r="B222" s="142"/>
      <c r="D222" s="141"/>
      <c r="E222" s="141"/>
      <c r="P222" s="109"/>
      <c r="R222" s="110"/>
      <c r="S222" s="110"/>
    </row>
    <row r="223" spans="2:19" x14ac:dyDescent="0.25">
      <c r="B223" s="142"/>
      <c r="D223" s="141"/>
      <c r="E223" s="141"/>
      <c r="P223" s="109"/>
      <c r="R223" s="110"/>
      <c r="S223" s="110"/>
    </row>
    <row r="224" spans="2:19" x14ac:dyDescent="0.25">
      <c r="B224" s="142"/>
      <c r="D224" s="141"/>
      <c r="E224" s="141"/>
      <c r="P224" s="109"/>
      <c r="R224" s="110"/>
      <c r="S224" s="110"/>
    </row>
    <row r="225" spans="2:19" x14ac:dyDescent="0.25">
      <c r="B225" s="142"/>
      <c r="D225" s="141"/>
      <c r="E225" s="141"/>
      <c r="P225" s="109"/>
      <c r="R225" s="110"/>
      <c r="S225" s="110"/>
    </row>
    <row r="226" spans="2:19" x14ac:dyDescent="0.25">
      <c r="B226" s="142"/>
      <c r="D226" s="141"/>
      <c r="E226" s="141"/>
      <c r="P226" s="109"/>
      <c r="R226" s="110"/>
      <c r="S226" s="110"/>
    </row>
    <row r="227" spans="2:19" x14ac:dyDescent="0.25">
      <c r="B227" s="142"/>
      <c r="D227" s="141"/>
      <c r="E227" s="141"/>
      <c r="P227" s="109"/>
      <c r="R227" s="110"/>
      <c r="S227" s="110"/>
    </row>
    <row r="228" spans="2:19" x14ac:dyDescent="0.25">
      <c r="B228" s="142"/>
      <c r="D228" s="141"/>
      <c r="E228" s="141"/>
      <c r="P228" s="109"/>
      <c r="R228" s="110"/>
      <c r="S228" s="110"/>
    </row>
    <row r="229" spans="2:19" x14ac:dyDescent="0.25">
      <c r="B229" s="142"/>
      <c r="D229" s="141"/>
      <c r="E229" s="141"/>
      <c r="P229" s="109"/>
      <c r="R229" s="110"/>
      <c r="S229" s="110"/>
    </row>
    <row r="230" spans="2:19" x14ac:dyDescent="0.25">
      <c r="B230" s="142"/>
      <c r="D230" s="141"/>
      <c r="E230" s="141"/>
      <c r="P230" s="109"/>
      <c r="R230" s="110"/>
      <c r="S230" s="110"/>
    </row>
    <row r="231" spans="2:19" x14ac:dyDescent="0.25">
      <c r="B231" s="142"/>
      <c r="D231" s="141"/>
      <c r="E231" s="141"/>
      <c r="P231" s="109"/>
      <c r="R231" s="110"/>
      <c r="S231" s="110"/>
    </row>
    <row r="232" spans="2:19" x14ac:dyDescent="0.25">
      <c r="B232" s="142"/>
      <c r="D232" s="141"/>
      <c r="E232" s="141"/>
      <c r="P232" s="109"/>
      <c r="R232" s="110"/>
      <c r="S232" s="110"/>
    </row>
    <row r="233" spans="2:19" x14ac:dyDescent="0.25">
      <c r="B233" s="142"/>
      <c r="D233" s="141"/>
      <c r="E233" s="141"/>
      <c r="P233" s="109"/>
      <c r="R233" s="110"/>
      <c r="S233" s="110"/>
    </row>
    <row r="234" spans="2:19" x14ac:dyDescent="0.25">
      <c r="B234" s="142"/>
      <c r="D234" s="141"/>
      <c r="E234" s="141"/>
      <c r="P234" s="109"/>
      <c r="R234" s="110"/>
      <c r="S234" s="110"/>
    </row>
    <row r="235" spans="2:19" x14ac:dyDescent="0.25">
      <c r="B235" s="142"/>
      <c r="D235" s="141"/>
      <c r="E235" s="141"/>
      <c r="P235" s="109"/>
      <c r="R235" s="110"/>
      <c r="S235" s="110"/>
    </row>
    <row r="236" spans="2:19" x14ac:dyDescent="0.25">
      <c r="B236" s="142"/>
      <c r="D236" s="141"/>
      <c r="E236" s="141"/>
      <c r="P236" s="109"/>
      <c r="R236" s="110"/>
      <c r="S236" s="110"/>
    </row>
    <row r="237" spans="2:19" x14ac:dyDescent="0.25">
      <c r="B237" s="142"/>
      <c r="D237" s="141"/>
      <c r="E237" s="141"/>
      <c r="P237" s="109"/>
      <c r="R237" s="110"/>
      <c r="S237" s="110"/>
    </row>
    <row r="238" spans="2:19" x14ac:dyDescent="0.25">
      <c r="B238" s="142"/>
      <c r="D238" s="141"/>
      <c r="E238" s="141"/>
      <c r="P238" s="109"/>
      <c r="R238" s="110"/>
      <c r="S238" s="110"/>
    </row>
    <row r="239" spans="2:19" x14ac:dyDescent="0.25">
      <c r="B239" s="142"/>
      <c r="D239" s="141"/>
      <c r="E239" s="141"/>
      <c r="P239" s="109"/>
      <c r="R239" s="110"/>
      <c r="S239" s="110"/>
    </row>
    <row r="240" spans="2:19" x14ac:dyDescent="0.25">
      <c r="B240" s="142"/>
      <c r="D240" s="141"/>
      <c r="E240" s="141"/>
      <c r="P240" s="109"/>
      <c r="R240" s="110"/>
      <c r="S240" s="110"/>
    </row>
    <row r="241" spans="2:19" x14ac:dyDescent="0.25">
      <c r="B241" s="142"/>
      <c r="D241" s="141"/>
      <c r="E241" s="141"/>
      <c r="P241" s="109"/>
      <c r="R241" s="110"/>
      <c r="S241" s="110"/>
    </row>
    <row r="242" spans="2:19" x14ac:dyDescent="0.25">
      <c r="B242" s="142"/>
      <c r="D242" s="141"/>
      <c r="E242" s="141"/>
      <c r="P242" s="109"/>
      <c r="R242" s="110"/>
      <c r="S242" s="110"/>
    </row>
    <row r="243" spans="2:19" x14ac:dyDescent="0.25">
      <c r="B243" s="142"/>
      <c r="D243" s="141"/>
      <c r="E243" s="141"/>
      <c r="P243" s="109"/>
      <c r="R243" s="110"/>
      <c r="S243" s="110"/>
    </row>
    <row r="244" spans="2:19" x14ac:dyDescent="0.25">
      <c r="B244" s="142"/>
      <c r="D244" s="141"/>
      <c r="E244" s="141"/>
      <c r="P244" s="109"/>
      <c r="R244" s="110"/>
      <c r="S244" s="110"/>
    </row>
    <row r="245" spans="2:19" x14ac:dyDescent="0.25">
      <c r="B245" s="142"/>
      <c r="D245" s="141"/>
      <c r="E245" s="141"/>
      <c r="P245" s="109"/>
      <c r="R245" s="110"/>
      <c r="S245" s="110"/>
    </row>
    <row r="246" spans="2:19" x14ac:dyDescent="0.25">
      <c r="B246" s="142"/>
      <c r="D246" s="141"/>
      <c r="E246" s="141"/>
      <c r="P246" s="109"/>
      <c r="R246" s="110"/>
      <c r="S246" s="110"/>
    </row>
    <row r="247" spans="2:19" x14ac:dyDescent="0.25">
      <c r="B247" s="142"/>
      <c r="D247" s="141"/>
      <c r="E247" s="141"/>
      <c r="P247" s="109"/>
      <c r="R247" s="110"/>
      <c r="S247" s="110"/>
    </row>
    <row r="248" spans="2:19" x14ac:dyDescent="0.25">
      <c r="B248" s="142"/>
      <c r="D248" s="141"/>
      <c r="E248" s="141"/>
      <c r="P248" s="109"/>
      <c r="R248" s="110"/>
      <c r="S248" s="110"/>
    </row>
    <row r="249" spans="2:19" x14ac:dyDescent="0.25">
      <c r="B249" s="142"/>
      <c r="D249" s="141"/>
      <c r="E249" s="141"/>
      <c r="P249" s="109"/>
      <c r="R249" s="110"/>
      <c r="S249" s="110"/>
    </row>
    <row r="250" spans="2:19" x14ac:dyDescent="0.25">
      <c r="B250" s="142"/>
      <c r="D250" s="141"/>
      <c r="E250" s="141"/>
      <c r="P250" s="109"/>
      <c r="R250" s="110"/>
      <c r="S250" s="110"/>
    </row>
    <row r="251" spans="2:19" x14ac:dyDescent="0.25">
      <c r="B251" s="142"/>
      <c r="D251" s="141"/>
      <c r="E251" s="141"/>
      <c r="P251" s="109"/>
      <c r="R251" s="110"/>
      <c r="S251" s="110"/>
    </row>
    <row r="252" spans="2:19" x14ac:dyDescent="0.25">
      <c r="B252" s="142"/>
      <c r="D252" s="141"/>
      <c r="E252" s="141"/>
      <c r="P252" s="109"/>
      <c r="R252" s="110"/>
      <c r="S252" s="110"/>
    </row>
    <row r="253" spans="2:19" x14ac:dyDescent="0.25">
      <c r="B253" s="142"/>
      <c r="D253" s="141"/>
      <c r="E253" s="141"/>
      <c r="P253" s="109"/>
      <c r="R253" s="110"/>
      <c r="S253" s="110"/>
    </row>
    <row r="254" spans="2:19" x14ac:dyDescent="0.25">
      <c r="B254" s="142"/>
      <c r="D254" s="141"/>
      <c r="E254" s="141"/>
      <c r="P254" s="109"/>
      <c r="R254" s="110"/>
      <c r="S254" s="110"/>
    </row>
    <row r="255" spans="2:19" x14ac:dyDescent="0.25">
      <c r="B255" s="142"/>
      <c r="D255" s="141"/>
      <c r="E255" s="141"/>
      <c r="P255" s="109"/>
      <c r="R255" s="110"/>
      <c r="S255" s="110"/>
    </row>
    <row r="256" spans="2:19" x14ac:dyDescent="0.25">
      <c r="B256" s="142"/>
      <c r="D256" s="141"/>
      <c r="E256" s="141"/>
      <c r="P256" s="109"/>
      <c r="R256" s="110"/>
      <c r="S256" s="110"/>
    </row>
    <row r="257" spans="2:19" x14ac:dyDescent="0.25">
      <c r="B257" s="142"/>
      <c r="D257" s="141"/>
      <c r="E257" s="141"/>
      <c r="P257" s="109"/>
      <c r="R257" s="110"/>
      <c r="S257" s="110"/>
    </row>
    <row r="258" spans="2:19" x14ac:dyDescent="0.25">
      <c r="B258" s="142"/>
      <c r="D258" s="141"/>
      <c r="E258" s="141"/>
      <c r="P258" s="109"/>
      <c r="R258" s="110"/>
      <c r="S258" s="110"/>
    </row>
    <row r="259" spans="2:19" x14ac:dyDescent="0.25">
      <c r="B259" s="142"/>
      <c r="D259" s="141"/>
      <c r="E259" s="141"/>
      <c r="P259" s="109"/>
      <c r="R259" s="110"/>
      <c r="S259" s="110"/>
    </row>
    <row r="260" spans="2:19" x14ac:dyDescent="0.25">
      <c r="B260" s="142"/>
      <c r="D260" s="141"/>
      <c r="E260" s="141"/>
      <c r="P260" s="109"/>
      <c r="R260" s="110"/>
      <c r="S260" s="110"/>
    </row>
    <row r="261" spans="2:19" x14ac:dyDescent="0.25">
      <c r="B261" s="142"/>
      <c r="D261" s="141"/>
      <c r="E261" s="141"/>
      <c r="P261" s="109"/>
      <c r="R261" s="110"/>
      <c r="S261" s="110"/>
    </row>
    <row r="262" spans="2:19" x14ac:dyDescent="0.25">
      <c r="B262" s="142"/>
      <c r="D262" s="141"/>
      <c r="E262" s="141"/>
      <c r="P262" s="109"/>
      <c r="R262" s="110"/>
      <c r="S262" s="110"/>
    </row>
    <row r="263" spans="2:19" x14ac:dyDescent="0.25">
      <c r="B263" s="142"/>
      <c r="D263" s="141"/>
      <c r="E263" s="141"/>
      <c r="P263" s="109"/>
      <c r="R263" s="110"/>
      <c r="S263" s="110"/>
    </row>
    <row r="264" spans="2:19" x14ac:dyDescent="0.25">
      <c r="B264" s="142"/>
      <c r="D264" s="141"/>
      <c r="E264" s="141"/>
      <c r="P264" s="109"/>
      <c r="R264" s="110"/>
      <c r="S264" s="110"/>
    </row>
    <row r="265" spans="2:19" x14ac:dyDescent="0.25">
      <c r="B265" s="142"/>
      <c r="D265" s="141"/>
      <c r="E265" s="141"/>
      <c r="P265" s="109"/>
      <c r="R265" s="110"/>
      <c r="S265" s="110"/>
    </row>
    <row r="266" spans="2:19" x14ac:dyDescent="0.25">
      <c r="B266" s="142"/>
      <c r="D266" s="141"/>
      <c r="E266" s="141"/>
      <c r="P266" s="109"/>
      <c r="R266" s="110"/>
      <c r="S266" s="110"/>
    </row>
    <row r="267" spans="2:19" x14ac:dyDescent="0.25">
      <c r="B267" s="142"/>
      <c r="D267" s="141"/>
      <c r="E267" s="141"/>
      <c r="P267" s="109"/>
      <c r="R267" s="110"/>
      <c r="S267" s="110"/>
    </row>
    <row r="268" spans="2:19" x14ac:dyDescent="0.25">
      <c r="B268" s="142"/>
      <c r="D268" s="141"/>
      <c r="E268" s="141"/>
      <c r="P268" s="109"/>
      <c r="R268" s="110"/>
      <c r="S268" s="110"/>
    </row>
    <row r="269" spans="2:19" x14ac:dyDescent="0.25">
      <c r="B269" s="142"/>
      <c r="D269" s="141"/>
      <c r="E269" s="141"/>
      <c r="P269" s="109"/>
      <c r="R269" s="110"/>
      <c r="S269" s="110"/>
    </row>
    <row r="270" spans="2:19" x14ac:dyDescent="0.25">
      <c r="B270" s="142"/>
      <c r="D270" s="141"/>
      <c r="E270" s="141"/>
      <c r="P270" s="109"/>
      <c r="R270" s="110"/>
      <c r="S270" s="110"/>
    </row>
    <row r="271" spans="2:19" x14ac:dyDescent="0.25">
      <c r="B271" s="142"/>
      <c r="D271" s="141"/>
      <c r="E271" s="141"/>
      <c r="P271" s="109"/>
      <c r="R271" s="110"/>
      <c r="S271" s="110"/>
    </row>
    <row r="272" spans="2:19" x14ac:dyDescent="0.25">
      <c r="B272" s="142"/>
      <c r="D272" s="141"/>
      <c r="E272" s="141"/>
      <c r="P272" s="109"/>
      <c r="R272" s="110"/>
      <c r="S272" s="110"/>
    </row>
    <row r="273" spans="2:19" x14ac:dyDescent="0.25">
      <c r="B273" s="142"/>
      <c r="D273" s="141"/>
      <c r="E273" s="141"/>
      <c r="P273" s="109"/>
      <c r="R273" s="110"/>
      <c r="S273" s="110"/>
    </row>
    <row r="274" spans="2:19" x14ac:dyDescent="0.25">
      <c r="B274" s="142"/>
      <c r="D274" s="141"/>
      <c r="E274" s="141"/>
      <c r="P274" s="109"/>
      <c r="R274" s="110"/>
      <c r="S274" s="110"/>
    </row>
    <row r="275" spans="2:19" x14ac:dyDescent="0.25">
      <c r="B275" s="142"/>
      <c r="D275" s="141"/>
      <c r="E275" s="141"/>
      <c r="P275" s="109"/>
      <c r="R275" s="110"/>
      <c r="S275" s="110"/>
    </row>
    <row r="276" spans="2:19" x14ac:dyDescent="0.25">
      <c r="B276" s="142"/>
      <c r="D276" s="141"/>
      <c r="E276" s="141"/>
      <c r="P276" s="109"/>
      <c r="R276" s="110"/>
      <c r="S276" s="110"/>
    </row>
    <row r="277" spans="2:19" x14ac:dyDescent="0.25">
      <c r="B277" s="142"/>
      <c r="D277" s="141"/>
      <c r="E277" s="141"/>
      <c r="P277" s="109"/>
      <c r="R277" s="110"/>
      <c r="S277" s="110"/>
    </row>
    <row r="278" spans="2:19" x14ac:dyDescent="0.25">
      <c r="B278" s="142"/>
      <c r="D278" s="141"/>
      <c r="E278" s="141"/>
      <c r="P278" s="109"/>
      <c r="R278" s="110"/>
      <c r="S278" s="110"/>
    </row>
    <row r="279" spans="2:19" x14ac:dyDescent="0.25">
      <c r="B279" s="142"/>
      <c r="D279" s="141"/>
      <c r="E279" s="141"/>
      <c r="P279" s="109"/>
      <c r="R279" s="110"/>
      <c r="S279" s="110"/>
    </row>
    <row r="280" spans="2:19" x14ac:dyDescent="0.25">
      <c r="B280" s="142"/>
      <c r="D280" s="141"/>
      <c r="E280" s="141"/>
      <c r="P280" s="109"/>
      <c r="R280" s="110"/>
      <c r="S280" s="110"/>
    </row>
    <row r="281" spans="2:19" x14ac:dyDescent="0.25">
      <c r="B281" s="142"/>
      <c r="D281" s="141"/>
      <c r="E281" s="141"/>
      <c r="P281" s="109"/>
      <c r="R281" s="110"/>
      <c r="S281" s="110"/>
    </row>
    <row r="282" spans="2:19" x14ac:dyDescent="0.25">
      <c r="B282" s="142"/>
      <c r="D282" s="141"/>
      <c r="E282" s="141"/>
      <c r="P282" s="109"/>
      <c r="R282" s="110"/>
      <c r="S282" s="110"/>
    </row>
    <row r="283" spans="2:19" x14ac:dyDescent="0.25">
      <c r="B283" s="142"/>
      <c r="D283" s="141"/>
      <c r="E283" s="141"/>
      <c r="P283" s="109"/>
      <c r="R283" s="110"/>
      <c r="S283" s="110"/>
    </row>
    <row r="284" spans="2:19" x14ac:dyDescent="0.25">
      <c r="B284" s="142"/>
      <c r="D284" s="141"/>
      <c r="E284" s="141"/>
      <c r="P284" s="109"/>
      <c r="R284" s="110"/>
      <c r="S284" s="110"/>
    </row>
    <row r="285" spans="2:19" x14ac:dyDescent="0.25">
      <c r="B285" s="142"/>
      <c r="D285" s="141"/>
      <c r="E285" s="141"/>
      <c r="P285" s="109"/>
      <c r="R285" s="110"/>
      <c r="S285" s="110"/>
    </row>
    <row r="286" spans="2:19" x14ac:dyDescent="0.25">
      <c r="B286" s="142"/>
      <c r="D286" s="141"/>
      <c r="E286" s="141"/>
      <c r="P286" s="109"/>
      <c r="R286" s="110"/>
      <c r="S286" s="110"/>
    </row>
    <row r="287" spans="2:19" x14ac:dyDescent="0.25">
      <c r="B287" s="142"/>
      <c r="D287" s="141"/>
      <c r="E287" s="141"/>
      <c r="P287" s="109"/>
      <c r="R287" s="110"/>
      <c r="S287" s="110"/>
    </row>
    <row r="288" spans="2:19" x14ac:dyDescent="0.25">
      <c r="B288" s="142"/>
      <c r="D288" s="141"/>
      <c r="E288" s="141"/>
      <c r="P288" s="109"/>
      <c r="R288" s="110"/>
      <c r="S288" s="110"/>
    </row>
    <row r="289" spans="2:19" x14ac:dyDescent="0.25">
      <c r="B289" s="142"/>
      <c r="D289" s="141"/>
      <c r="E289" s="141"/>
      <c r="P289" s="109"/>
      <c r="R289" s="110"/>
      <c r="S289" s="110"/>
    </row>
    <row r="290" spans="2:19" x14ac:dyDescent="0.25">
      <c r="B290" s="142"/>
      <c r="D290" s="141"/>
      <c r="E290" s="141"/>
      <c r="P290" s="109"/>
      <c r="R290" s="110"/>
      <c r="S290" s="110"/>
    </row>
    <row r="291" spans="2:19" x14ac:dyDescent="0.25">
      <c r="B291" s="142"/>
      <c r="D291" s="141"/>
      <c r="E291" s="141"/>
      <c r="P291" s="109"/>
      <c r="R291" s="110"/>
      <c r="S291" s="110"/>
    </row>
    <row r="292" spans="2:19" x14ac:dyDescent="0.25">
      <c r="B292" s="142"/>
      <c r="D292" s="141"/>
      <c r="E292" s="141"/>
      <c r="P292" s="109"/>
      <c r="R292" s="110"/>
      <c r="S292" s="110"/>
    </row>
    <row r="293" spans="2:19" x14ac:dyDescent="0.25">
      <c r="B293" s="142"/>
      <c r="D293" s="141"/>
      <c r="E293" s="141"/>
      <c r="P293" s="109"/>
      <c r="R293" s="110"/>
      <c r="S293" s="110"/>
    </row>
    <row r="294" spans="2:19" x14ac:dyDescent="0.25">
      <c r="B294" s="142"/>
      <c r="D294" s="141"/>
      <c r="E294" s="141"/>
      <c r="P294" s="109"/>
      <c r="R294" s="110"/>
      <c r="S294" s="110"/>
    </row>
    <row r="295" spans="2:19" x14ac:dyDescent="0.25">
      <c r="B295" s="142"/>
      <c r="D295" s="141"/>
      <c r="E295" s="141"/>
      <c r="P295" s="109"/>
      <c r="R295" s="110"/>
      <c r="S295" s="110"/>
    </row>
    <row r="296" spans="2:19" x14ac:dyDescent="0.25">
      <c r="B296" s="142"/>
      <c r="D296" s="141"/>
      <c r="E296" s="141"/>
      <c r="P296" s="109"/>
      <c r="R296" s="110"/>
      <c r="S296" s="110"/>
    </row>
    <row r="297" spans="2:19" x14ac:dyDescent="0.25">
      <c r="B297" s="142"/>
      <c r="D297" s="141"/>
      <c r="E297" s="141"/>
      <c r="P297" s="109"/>
      <c r="R297" s="110"/>
      <c r="S297" s="110"/>
    </row>
    <row r="298" spans="2:19" x14ac:dyDescent="0.25">
      <c r="B298" s="142"/>
      <c r="D298" s="141"/>
      <c r="E298" s="141"/>
      <c r="P298" s="109"/>
      <c r="R298" s="110"/>
      <c r="S298" s="110"/>
    </row>
    <row r="299" spans="2:19" x14ac:dyDescent="0.25">
      <c r="B299" s="142"/>
      <c r="D299" s="141"/>
      <c r="E299" s="141"/>
      <c r="P299" s="109"/>
      <c r="R299" s="110"/>
      <c r="S299" s="110"/>
    </row>
    <row r="300" spans="2:19" x14ac:dyDescent="0.25">
      <c r="B300" s="142"/>
      <c r="D300" s="141"/>
      <c r="E300" s="141"/>
      <c r="P300" s="109"/>
      <c r="R300" s="110"/>
      <c r="S300" s="110"/>
    </row>
    <row r="301" spans="2:19" x14ac:dyDescent="0.25">
      <c r="B301" s="142"/>
      <c r="D301" s="141"/>
      <c r="E301" s="141"/>
      <c r="P301" s="109"/>
      <c r="R301" s="110"/>
      <c r="S301" s="110"/>
    </row>
    <row r="302" spans="2:19" x14ac:dyDescent="0.25">
      <c r="B302" s="142"/>
      <c r="D302" s="141"/>
      <c r="E302" s="141"/>
      <c r="P302" s="109"/>
      <c r="R302" s="110"/>
      <c r="S302" s="110"/>
    </row>
    <row r="303" spans="2:19" x14ac:dyDescent="0.25">
      <c r="B303" s="142"/>
      <c r="D303" s="141"/>
      <c r="E303" s="141"/>
      <c r="P303" s="109"/>
      <c r="R303" s="110"/>
      <c r="S303" s="110"/>
    </row>
    <row r="304" spans="2:19" x14ac:dyDescent="0.25">
      <c r="B304" s="142"/>
      <c r="D304" s="141"/>
      <c r="E304" s="141"/>
      <c r="P304" s="109"/>
      <c r="R304" s="110"/>
      <c r="S304" s="110"/>
    </row>
    <row r="305" spans="2:19" x14ac:dyDescent="0.25">
      <c r="B305" s="142"/>
      <c r="D305" s="141"/>
      <c r="E305" s="141"/>
      <c r="P305" s="109"/>
      <c r="R305" s="110"/>
      <c r="S305" s="110"/>
    </row>
    <row r="306" spans="2:19" x14ac:dyDescent="0.25">
      <c r="B306" s="142"/>
      <c r="D306" s="141"/>
      <c r="E306" s="141"/>
      <c r="P306" s="109"/>
      <c r="R306" s="110"/>
      <c r="S306" s="110"/>
    </row>
    <row r="307" spans="2:19" x14ac:dyDescent="0.25">
      <c r="B307" s="142"/>
      <c r="D307" s="141"/>
      <c r="E307" s="141"/>
      <c r="P307" s="109"/>
      <c r="R307" s="110"/>
      <c r="S307" s="110"/>
    </row>
    <row r="308" spans="2:19" x14ac:dyDescent="0.25">
      <c r="B308" s="142"/>
      <c r="D308" s="141"/>
      <c r="E308" s="141"/>
      <c r="P308" s="109"/>
      <c r="R308" s="110"/>
      <c r="S308" s="110"/>
    </row>
    <row r="309" spans="2:19" x14ac:dyDescent="0.25">
      <c r="B309" s="142"/>
      <c r="D309" s="141"/>
      <c r="E309" s="141"/>
      <c r="P309" s="109"/>
      <c r="R309" s="110"/>
      <c r="S309" s="110"/>
    </row>
    <row r="310" spans="2:19" x14ac:dyDescent="0.25">
      <c r="B310" s="142"/>
      <c r="D310" s="141"/>
      <c r="E310" s="141"/>
      <c r="P310" s="109"/>
      <c r="R310" s="110"/>
      <c r="S310" s="110"/>
    </row>
    <row r="311" spans="2:19" x14ac:dyDescent="0.25">
      <c r="B311" s="142"/>
      <c r="D311" s="141"/>
      <c r="E311" s="141"/>
      <c r="P311" s="109"/>
      <c r="R311" s="110"/>
      <c r="S311" s="110"/>
    </row>
    <row r="312" spans="2:19" x14ac:dyDescent="0.25">
      <c r="B312" s="142"/>
      <c r="D312" s="141"/>
      <c r="E312" s="141"/>
    </row>
    <row r="313" spans="2:19" x14ac:dyDescent="0.25">
      <c r="B313" s="142"/>
      <c r="D313" s="141"/>
      <c r="E313" s="141"/>
    </row>
    <row r="314" spans="2:19" x14ac:dyDescent="0.25">
      <c r="B314" s="142"/>
      <c r="D314" s="141"/>
      <c r="E314" s="141"/>
    </row>
    <row r="315" spans="2:19" x14ac:dyDescent="0.25">
      <c r="B315" s="142"/>
      <c r="D315" s="141"/>
      <c r="E315" s="141"/>
    </row>
    <row r="316" spans="2:19" x14ac:dyDescent="0.25">
      <c r="B316" s="142"/>
      <c r="D316" s="141"/>
      <c r="E316" s="141"/>
    </row>
    <row r="317" spans="2:19" x14ac:dyDescent="0.25">
      <c r="B317" s="142"/>
      <c r="D317" s="141"/>
      <c r="E317" s="141"/>
    </row>
    <row r="318" spans="2:19" x14ac:dyDescent="0.25">
      <c r="B318" s="142"/>
      <c r="D318" s="141"/>
      <c r="E318" s="141"/>
    </row>
    <row r="319" spans="2:19" x14ac:dyDescent="0.25">
      <c r="B319" s="142"/>
      <c r="D319" s="141"/>
      <c r="E319" s="141"/>
    </row>
    <row r="320" spans="2:19" x14ac:dyDescent="0.25">
      <c r="B320" s="142"/>
      <c r="D320" s="141"/>
      <c r="E320" s="141"/>
    </row>
    <row r="321" spans="2:5" x14ac:dyDescent="0.25">
      <c r="B321" s="142"/>
      <c r="D321" s="141"/>
      <c r="E321" s="141"/>
    </row>
    <row r="322" spans="2:5" x14ac:dyDescent="0.25">
      <c r="B322" s="142"/>
      <c r="D322" s="141"/>
      <c r="E322" s="141"/>
    </row>
    <row r="323" spans="2:5" x14ac:dyDescent="0.25">
      <c r="B323" s="142"/>
      <c r="D323" s="141"/>
      <c r="E323" s="141"/>
    </row>
    <row r="324" spans="2:5" x14ac:dyDescent="0.25">
      <c r="B324" s="142"/>
      <c r="D324" s="141"/>
      <c r="E324" s="141"/>
    </row>
    <row r="325" spans="2:5" x14ac:dyDescent="0.25">
      <c r="B325" s="142"/>
      <c r="D325" s="141"/>
      <c r="E325" s="141"/>
    </row>
  </sheetData>
  <sheetProtection password="D4C7" sheet="1" objects="1" scenarios="1" formatColumns="0" formatRows="0" autoFilter="0"/>
  <mergeCells count="13">
    <mergeCell ref="B2:N2"/>
    <mergeCell ref="B3:N3"/>
    <mergeCell ref="B5:N5"/>
    <mergeCell ref="B24:N24"/>
    <mergeCell ref="P5:AA5"/>
    <mergeCell ref="Q6:S6"/>
    <mergeCell ref="T6:W6"/>
    <mergeCell ref="P8:Q8"/>
    <mergeCell ref="P9:Q9"/>
    <mergeCell ref="R8:S8"/>
    <mergeCell ref="R9:S9"/>
    <mergeCell ref="W8:X8"/>
    <mergeCell ref="W9:X9"/>
  </mergeCells>
  <conditionalFormatting sqref="G7:G21">
    <cfRule type="cellIs" dxfId="8" priority="2" operator="greaterThan">
      <formula>0</formula>
    </cfRule>
  </conditionalFormatting>
  <conditionalFormatting sqref="H7:H21">
    <cfRule type="cellIs" dxfId="6" priority="3" operator="greaterThan">
      <formula>0</formula>
    </cfRule>
  </conditionalFormatting>
  <conditionalFormatting sqref="K7:K21">
    <cfRule type="dataBar" priority="1">
      <dataBar>
        <cfvo type="num" val="0"/>
        <cfvo type="num" val="1"/>
        <color rgb="FF5B9BD5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X12:X311">
    <cfRule type="cellIs" dxfId="4" priority="4" operator="equal">
      <formula>"Absent"</formula>
    </cfRule>
    <cfRule type="cellIs" dxfId="6" priority="5" operator="equal">
      <formula>"Retard"</formula>
    </cfRule>
    <cfRule type="cellIs" dxfId="5" priority="6" operator="equal">
      <formula>"Présent"</formula>
    </cfRule>
    <cfRule type="cellIs" dxfId="21" priority="7" operator="equal">
      <formula>"Remplacé"</formula>
    </cfRule>
  </conditionalFormatting>
  <dataValidations count="1">
    <dataValidation type="list" allowBlank="1" showInputMessage="1" showErrorMessage="1" promptTitle="Enseignant" prompt="Choisissez un enseignant dans la liste." sqref="Q6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5B9BD5"/>
              <x14:negativeFillColor rgb="FFFF0000"/>
              <x14:negativeBorderColor rgb="FFFF0000"/>
              <x14:axisColor rgb="FF000000"/>
            </x14:dataBar>
          </x14:cfRule>
          <xm:sqref>K7:K21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Recap">
    <tabColor rgb="FF70AD47"/>
  </sheetPr>
  <dimension ref="A1:U206"/>
  <sheetViews>
    <sheetView showGridLines="0" zoomScale="90" zoomScaleNormal="9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5.7109375" customWidth="1"/>
    <col min="3" max="3" width="32.7109375" customWidth="1"/>
    <col min="4" max="4" width="10.7109375" customWidth="1"/>
    <col min="5" max="16" width="9.7109375" customWidth="1"/>
    <col min="17" max="18" width="8.7109375" customWidth="1"/>
    <col min="19" max="20" width="9.7109375" customWidth="1"/>
    <col min="21" max="21" width="11.7109375" customWidth="1"/>
  </cols>
  <sheetData>
    <row r="1" spans="2:21" ht="8" customHeight="1">
      <c r="B1" s="1" t="s">
        <v>1</v>
      </c>
      <c r="C1" s="1" t="s">
        <v>2</v>
      </c>
    </row>
    <row r="2" spans="2:21" ht="34" customHeight="1">
      <c r="B2" s="2" t="s">
        <v>208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>
      <c r="B3" s="4" t="s">
        <v>209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5" spans="2:21">
      <c r="E5" s="143">
        <f>IFERROR(INDEX(tblMatieres[Code],1),"")</f>
        <v>0</v>
      </c>
      <c r="F5" s="143">
        <f>IFERROR(INDEX(tblMatieres[Code],2),"")</f>
        <v>0</v>
      </c>
      <c r="G5" s="143">
        <f>IFERROR(INDEX(tblMatieres[Code],3),"")</f>
        <v>0</v>
      </c>
      <c r="H5" s="143">
        <f>IFERROR(INDEX(tblMatieres[Code],4),"")</f>
        <v>0</v>
      </c>
      <c r="I5" s="143">
        <f>IFERROR(INDEX(tblMatieres[Code],5),"")</f>
        <v>0</v>
      </c>
      <c r="J5" s="143">
        <f>IFERROR(INDEX(tblMatieres[Code],6),"")</f>
        <v>0</v>
      </c>
      <c r="K5" s="143">
        <f>IFERROR(INDEX(tblMatieres[Code],7),"")</f>
        <v>0</v>
      </c>
      <c r="L5" s="143">
        <f>IFERROR(INDEX(tblMatieres[Code],8),"")</f>
        <v>0</v>
      </c>
      <c r="M5" s="143">
        <f>IFERROR(INDEX(tblMatieres[Code],9),"")</f>
        <v>0</v>
      </c>
      <c r="N5" s="143">
        <f>IFERROR(INDEX(tblMatieres[Code],10),"")</f>
        <v>0</v>
      </c>
      <c r="O5" s="143">
        <f>IFERROR(INDEX(tblMatieres[Code],11),"")</f>
        <v>0</v>
      </c>
      <c r="P5" s="143">
        <f>IFERROR(INDEX(tblMatieres[Code],12),"")</f>
        <v>0</v>
      </c>
    </row>
    <row r="6" spans="2:21" ht="40" customHeight="1">
      <c r="B6" s="126" t="s">
        <v>101</v>
      </c>
      <c r="C6" s="126" t="s">
        <v>122</v>
      </c>
      <c r="D6" s="126" t="s">
        <v>103</v>
      </c>
      <c r="E6" s="126">
        <f>IFERROR(INDEX(tblMatieres[Abrégé],1),"")</f>
        <v>0</v>
      </c>
      <c r="F6" s="126">
        <f>IFERROR(INDEX(tblMatieres[Abrégé],2),"")</f>
        <v>0</v>
      </c>
      <c r="G6" s="126">
        <f>IFERROR(INDEX(tblMatieres[Abrégé],3),"")</f>
        <v>0</v>
      </c>
      <c r="H6" s="126">
        <f>IFERROR(INDEX(tblMatieres[Abrégé],4),"")</f>
        <v>0</v>
      </c>
      <c r="I6" s="126">
        <f>IFERROR(INDEX(tblMatieres[Abrégé],5),"")</f>
        <v>0</v>
      </c>
      <c r="J6" s="126">
        <f>IFERROR(INDEX(tblMatieres[Abrégé],6),"")</f>
        <v>0</v>
      </c>
      <c r="K6" s="126">
        <f>IFERROR(INDEX(tblMatieres[Abrégé],7),"")</f>
        <v>0</v>
      </c>
      <c r="L6" s="126">
        <f>IFERROR(INDEX(tblMatieres[Abrégé],8),"")</f>
        <v>0</v>
      </c>
      <c r="M6" s="126">
        <f>IFERROR(INDEX(tblMatieres[Abrégé],9),"")</f>
        <v>0</v>
      </c>
      <c r="N6" s="126">
        <f>IFERROR(INDEX(tblMatieres[Abrégé],10),"")</f>
        <v>0</v>
      </c>
      <c r="O6" s="126">
        <f>IFERROR(INDEX(tblMatieres[Abrégé],11),"")</f>
        <v>0</v>
      </c>
      <c r="P6" s="126">
        <f>IFERROR(INDEX(tblMatieres[Abrégé],12),"")</f>
        <v>0</v>
      </c>
      <c r="Q6" s="144" t="s">
        <v>210</v>
      </c>
      <c r="R6" s="144" t="s">
        <v>211</v>
      </c>
      <c r="S6" s="144" t="s">
        <v>212</v>
      </c>
      <c r="T6" s="144" t="s">
        <v>213</v>
      </c>
      <c r="U6" s="144" t="s">
        <v>175</v>
      </c>
    </row>
    <row r="7" spans="2:21">
      <c r="B7" s="145">
        <f>IF(C7="","",1)</f>
        <v>0</v>
      </c>
      <c r="C7" s="29">
        <f>IFERROR(INDEX(tblEtudiants[Nom et prénoms],1)&amp;"","")</f>
        <v>0</v>
      </c>
      <c r="D7" s="27">
        <f>IF(C7="","",INDEX(tblEtudiants[Groupe],1)&amp;"")</f>
        <v>0</v>
      </c>
      <c r="E7" s="27">
        <f>IF(OR($C7="",E$5=""),"",COUNTIFS(tblPresences[Étudiant],$C7,tblPresences[Code matière],E$5,tblPresences[Statut],"A"))</f>
        <v>0</v>
      </c>
      <c r="F7" s="27">
        <f>IF(OR($C7="",F$5=""),"",COUNTIFS(tblPresences[Étudiant],$C7,tblPresences[Code matière],F$5,tblPresences[Statut],"A"))</f>
        <v>0</v>
      </c>
      <c r="G7" s="27">
        <f>IF(OR($C7="",G$5=""),"",COUNTIFS(tblPresences[Étudiant],$C7,tblPresences[Code matière],G$5,tblPresences[Statut],"A"))</f>
        <v>0</v>
      </c>
      <c r="H7" s="27">
        <f>IF(OR($C7="",H$5=""),"",COUNTIFS(tblPresences[Étudiant],$C7,tblPresences[Code matière],H$5,tblPresences[Statut],"A"))</f>
        <v>0</v>
      </c>
      <c r="I7" s="27">
        <f>IF(OR($C7="",I$5=""),"",COUNTIFS(tblPresences[Étudiant],$C7,tblPresences[Code matière],I$5,tblPresences[Statut],"A"))</f>
        <v>0</v>
      </c>
      <c r="J7" s="27">
        <f>IF(OR($C7="",J$5=""),"",COUNTIFS(tblPresences[Étudiant],$C7,tblPresences[Code matière],J$5,tblPresences[Statut],"A"))</f>
        <v>0</v>
      </c>
      <c r="K7" s="27">
        <f>IF(OR($C7="",K$5=""),"",COUNTIFS(tblPresences[Étudiant],$C7,tblPresences[Code matière],K$5,tblPresences[Statut],"A"))</f>
        <v>0</v>
      </c>
      <c r="L7" s="27">
        <f>IF(OR($C7="",L$5=""),"",COUNTIFS(tblPresences[Étudiant],$C7,tblPresences[Code matière],L$5,tblPresences[Statut],"A"))</f>
        <v>0</v>
      </c>
      <c r="M7" s="27">
        <f>IF(OR($C7="",M$5=""),"",COUNTIFS(tblPresences[Étudiant],$C7,tblPresences[Code matière],M$5,tblPresences[Statut],"A"))</f>
        <v>0</v>
      </c>
      <c r="N7" s="27">
        <f>IF(OR($C7="",N$5=""),"",COUNTIFS(tblPresences[Étudiant],$C7,tblPresences[Code matière],N$5,tblPresences[Statut],"A"))</f>
        <v>0</v>
      </c>
      <c r="O7" s="27">
        <f>IF(OR($C7="",O$5=""),"",COUNTIFS(tblPresences[Étudiant],$C7,tblPresences[Code matière],O$5,tblPresences[Statut],"A"))</f>
        <v>0</v>
      </c>
      <c r="P7" s="27">
        <f>IF(OR($C7="",P$5=""),"",COUNTIFS(tblPresences[Étudiant],$C7,tblPresences[Code matière],P$5,tblPresences[Statut],"A"))</f>
        <v>0</v>
      </c>
      <c r="Q7" s="28">
        <f>IF(C7="","",SUM(E7:P7))</f>
        <v>0</v>
      </c>
      <c r="R7" s="27">
        <f>IF(C7="","",COUNTIFS(tblPresences[Étudiant],C7,tblPresences[Statut],"R"))</f>
        <v>0</v>
      </c>
      <c r="S7" s="123">
        <f>IF(C7="","",IFERROR((COUNTIFS(tblPresences[Étudiant],C7,tblPresences[Statut],"P")+COUNTIFS(tblPresences[Étudiant],C7,tblPresences[Statut],"R"))/COUNTIF(tblPresences[Étudiant],C7),""))</f>
        <v>0</v>
      </c>
      <c r="T7" s="27">
        <f>IF(C7="","",MAX(E7:P7))</f>
        <v>0</v>
      </c>
      <c r="U7" s="146">
        <f>IF(C7="","",IF(T7&gt;pSeuil,"⚠ ALERTE",""))</f>
        <v>0</v>
      </c>
    </row>
    <row r="8" spans="2:21">
      <c r="B8" s="147">
        <f>IF(C8="","",2)</f>
        <v>0</v>
      </c>
      <c r="C8" s="32">
        <f>IFERROR(INDEX(tblEtudiants[Nom et prénoms],2)&amp;"","")</f>
        <v>0</v>
      </c>
      <c r="D8" s="30">
        <f>IF(C8="","",INDEX(tblEtudiants[Groupe],2)&amp;"")</f>
        <v>0</v>
      </c>
      <c r="E8" s="30">
        <f>IF(OR($C8="",E$5=""),"",COUNTIFS(tblPresences[Étudiant],$C8,tblPresences[Code matière],E$5,tblPresences[Statut],"A"))</f>
        <v>0</v>
      </c>
      <c r="F8" s="30">
        <f>IF(OR($C8="",F$5=""),"",COUNTIFS(tblPresences[Étudiant],$C8,tblPresences[Code matière],F$5,tblPresences[Statut],"A"))</f>
        <v>0</v>
      </c>
      <c r="G8" s="30">
        <f>IF(OR($C8="",G$5=""),"",COUNTIFS(tblPresences[Étudiant],$C8,tblPresences[Code matière],G$5,tblPresences[Statut],"A"))</f>
        <v>0</v>
      </c>
      <c r="H8" s="30">
        <f>IF(OR($C8="",H$5=""),"",COUNTIFS(tblPresences[Étudiant],$C8,tblPresences[Code matière],H$5,tblPresences[Statut],"A"))</f>
        <v>0</v>
      </c>
      <c r="I8" s="30">
        <f>IF(OR($C8="",I$5=""),"",COUNTIFS(tblPresences[Étudiant],$C8,tblPresences[Code matière],I$5,tblPresences[Statut],"A"))</f>
        <v>0</v>
      </c>
      <c r="J8" s="30">
        <f>IF(OR($C8="",J$5=""),"",COUNTIFS(tblPresences[Étudiant],$C8,tblPresences[Code matière],J$5,tblPresences[Statut],"A"))</f>
        <v>0</v>
      </c>
      <c r="K8" s="30">
        <f>IF(OR($C8="",K$5=""),"",COUNTIFS(tblPresences[Étudiant],$C8,tblPresences[Code matière],K$5,tblPresences[Statut],"A"))</f>
        <v>0</v>
      </c>
      <c r="L8" s="30">
        <f>IF(OR($C8="",L$5=""),"",COUNTIFS(tblPresences[Étudiant],$C8,tblPresences[Code matière],L$5,tblPresences[Statut],"A"))</f>
        <v>0</v>
      </c>
      <c r="M8" s="30">
        <f>IF(OR($C8="",M$5=""),"",COUNTIFS(tblPresences[Étudiant],$C8,tblPresences[Code matière],M$5,tblPresences[Statut],"A"))</f>
        <v>0</v>
      </c>
      <c r="N8" s="30">
        <f>IF(OR($C8="",N$5=""),"",COUNTIFS(tblPresences[Étudiant],$C8,tblPresences[Code matière],N$5,tblPresences[Statut],"A"))</f>
        <v>0</v>
      </c>
      <c r="O8" s="30">
        <f>IF(OR($C8="",O$5=""),"",COUNTIFS(tblPresences[Étudiant],$C8,tblPresences[Code matière],O$5,tblPresences[Statut],"A"))</f>
        <v>0</v>
      </c>
      <c r="P8" s="30">
        <f>IF(OR($C8="",P$5=""),"",COUNTIFS(tblPresences[Étudiant],$C8,tblPresences[Code matière],P$5,tblPresences[Statut],"A"))</f>
        <v>0</v>
      </c>
      <c r="Q8" s="31">
        <f>IF(C8="","",SUM(E8:P8))</f>
        <v>0</v>
      </c>
      <c r="R8" s="30">
        <f>IF(C8="","",COUNTIFS(tblPresences[Étudiant],C8,tblPresences[Statut],"R"))</f>
        <v>0</v>
      </c>
      <c r="S8" s="124">
        <f>IF(C8="","",IFERROR((COUNTIFS(tblPresences[Étudiant],C8,tblPresences[Statut],"P")+COUNTIFS(tblPresences[Étudiant],C8,tblPresences[Statut],"R"))/COUNTIF(tblPresences[Étudiant],C8),""))</f>
        <v>0</v>
      </c>
      <c r="T8" s="30">
        <f>IF(C8="","",MAX(E8:P8))</f>
        <v>0</v>
      </c>
      <c r="U8" s="148">
        <f>IF(C8="","",IF(T8&gt;pSeuil,"⚠ ALERTE",""))</f>
        <v>0</v>
      </c>
    </row>
    <row r="9" spans="2:21">
      <c r="B9" s="145">
        <f>IF(C9="","",3)</f>
        <v>0</v>
      </c>
      <c r="C9" s="29">
        <f>IFERROR(INDEX(tblEtudiants[Nom et prénoms],3)&amp;"","")</f>
        <v>0</v>
      </c>
      <c r="D9" s="27">
        <f>IF(C9="","",INDEX(tblEtudiants[Groupe],3)&amp;"")</f>
        <v>0</v>
      </c>
      <c r="E9" s="27">
        <f>IF(OR($C9="",E$5=""),"",COUNTIFS(tblPresences[Étudiant],$C9,tblPresences[Code matière],E$5,tblPresences[Statut],"A"))</f>
        <v>0</v>
      </c>
      <c r="F9" s="27">
        <f>IF(OR($C9="",F$5=""),"",COUNTIFS(tblPresences[Étudiant],$C9,tblPresences[Code matière],F$5,tblPresences[Statut],"A"))</f>
        <v>0</v>
      </c>
      <c r="G9" s="27">
        <f>IF(OR($C9="",G$5=""),"",COUNTIFS(tblPresences[Étudiant],$C9,tblPresences[Code matière],G$5,tblPresences[Statut],"A"))</f>
        <v>0</v>
      </c>
      <c r="H9" s="27">
        <f>IF(OR($C9="",H$5=""),"",COUNTIFS(tblPresences[Étudiant],$C9,tblPresences[Code matière],H$5,tblPresences[Statut],"A"))</f>
        <v>0</v>
      </c>
      <c r="I9" s="27">
        <f>IF(OR($C9="",I$5=""),"",COUNTIFS(tblPresences[Étudiant],$C9,tblPresences[Code matière],I$5,tblPresences[Statut],"A"))</f>
        <v>0</v>
      </c>
      <c r="J9" s="27">
        <f>IF(OR($C9="",J$5=""),"",COUNTIFS(tblPresences[Étudiant],$C9,tblPresences[Code matière],J$5,tblPresences[Statut],"A"))</f>
        <v>0</v>
      </c>
      <c r="K9" s="27">
        <f>IF(OR($C9="",K$5=""),"",COUNTIFS(tblPresences[Étudiant],$C9,tblPresences[Code matière],K$5,tblPresences[Statut],"A"))</f>
        <v>0</v>
      </c>
      <c r="L9" s="27">
        <f>IF(OR($C9="",L$5=""),"",COUNTIFS(tblPresences[Étudiant],$C9,tblPresences[Code matière],L$5,tblPresences[Statut],"A"))</f>
        <v>0</v>
      </c>
      <c r="M9" s="27">
        <f>IF(OR($C9="",M$5=""),"",COUNTIFS(tblPresences[Étudiant],$C9,tblPresences[Code matière],M$5,tblPresences[Statut],"A"))</f>
        <v>0</v>
      </c>
      <c r="N9" s="27">
        <f>IF(OR($C9="",N$5=""),"",COUNTIFS(tblPresences[Étudiant],$C9,tblPresences[Code matière],N$5,tblPresences[Statut],"A"))</f>
        <v>0</v>
      </c>
      <c r="O9" s="27">
        <f>IF(OR($C9="",O$5=""),"",COUNTIFS(tblPresences[Étudiant],$C9,tblPresences[Code matière],O$5,tblPresences[Statut],"A"))</f>
        <v>0</v>
      </c>
      <c r="P9" s="27">
        <f>IF(OR($C9="",P$5=""),"",COUNTIFS(tblPresences[Étudiant],$C9,tblPresences[Code matière],P$5,tblPresences[Statut],"A"))</f>
        <v>0</v>
      </c>
      <c r="Q9" s="28">
        <f>IF(C9="","",SUM(E9:P9))</f>
        <v>0</v>
      </c>
      <c r="R9" s="27">
        <f>IF(C9="","",COUNTIFS(tblPresences[Étudiant],C9,tblPresences[Statut],"R"))</f>
        <v>0</v>
      </c>
      <c r="S9" s="123">
        <f>IF(C9="","",IFERROR((COUNTIFS(tblPresences[Étudiant],C9,tblPresences[Statut],"P")+COUNTIFS(tblPresences[Étudiant],C9,tblPresences[Statut],"R"))/COUNTIF(tblPresences[Étudiant],C9),""))</f>
        <v>0</v>
      </c>
      <c r="T9" s="27">
        <f>IF(C9="","",MAX(E9:P9))</f>
        <v>0</v>
      </c>
      <c r="U9" s="146">
        <f>IF(C9="","",IF(T9&gt;pSeuil,"⚠ ALERTE",""))</f>
        <v>0</v>
      </c>
    </row>
    <row r="10" spans="2:21">
      <c r="B10" s="147">
        <f>IF(C10="","",4)</f>
        <v>0</v>
      </c>
      <c r="C10" s="32">
        <f>IFERROR(INDEX(tblEtudiants[Nom et prénoms],4)&amp;"","")</f>
        <v>0</v>
      </c>
      <c r="D10" s="30">
        <f>IF(C10="","",INDEX(tblEtudiants[Groupe],4)&amp;"")</f>
        <v>0</v>
      </c>
      <c r="E10" s="30">
        <f>IF(OR($C10="",E$5=""),"",COUNTIFS(tblPresences[Étudiant],$C10,tblPresences[Code matière],E$5,tblPresences[Statut],"A"))</f>
        <v>0</v>
      </c>
      <c r="F10" s="30">
        <f>IF(OR($C10="",F$5=""),"",COUNTIFS(tblPresences[Étudiant],$C10,tblPresences[Code matière],F$5,tblPresences[Statut],"A"))</f>
        <v>0</v>
      </c>
      <c r="G10" s="30">
        <f>IF(OR($C10="",G$5=""),"",COUNTIFS(tblPresences[Étudiant],$C10,tblPresences[Code matière],G$5,tblPresences[Statut],"A"))</f>
        <v>0</v>
      </c>
      <c r="H10" s="30">
        <f>IF(OR($C10="",H$5=""),"",COUNTIFS(tblPresences[Étudiant],$C10,tblPresences[Code matière],H$5,tblPresences[Statut],"A"))</f>
        <v>0</v>
      </c>
      <c r="I10" s="30">
        <f>IF(OR($C10="",I$5=""),"",COUNTIFS(tblPresences[Étudiant],$C10,tblPresences[Code matière],I$5,tblPresences[Statut],"A"))</f>
        <v>0</v>
      </c>
      <c r="J10" s="30">
        <f>IF(OR($C10="",J$5=""),"",COUNTIFS(tblPresences[Étudiant],$C10,tblPresences[Code matière],J$5,tblPresences[Statut],"A"))</f>
        <v>0</v>
      </c>
      <c r="K10" s="30">
        <f>IF(OR($C10="",K$5=""),"",COUNTIFS(tblPresences[Étudiant],$C10,tblPresences[Code matière],K$5,tblPresences[Statut],"A"))</f>
        <v>0</v>
      </c>
      <c r="L10" s="30">
        <f>IF(OR($C10="",L$5=""),"",COUNTIFS(tblPresences[Étudiant],$C10,tblPresences[Code matière],L$5,tblPresences[Statut],"A"))</f>
        <v>0</v>
      </c>
      <c r="M10" s="30">
        <f>IF(OR($C10="",M$5=""),"",COUNTIFS(tblPresences[Étudiant],$C10,tblPresences[Code matière],M$5,tblPresences[Statut],"A"))</f>
        <v>0</v>
      </c>
      <c r="N10" s="30">
        <f>IF(OR($C10="",N$5=""),"",COUNTIFS(tblPresences[Étudiant],$C10,tblPresences[Code matière],N$5,tblPresences[Statut],"A"))</f>
        <v>0</v>
      </c>
      <c r="O10" s="30">
        <f>IF(OR($C10="",O$5=""),"",COUNTIFS(tblPresences[Étudiant],$C10,tblPresences[Code matière],O$5,tblPresences[Statut],"A"))</f>
        <v>0</v>
      </c>
      <c r="P10" s="30">
        <f>IF(OR($C10="",P$5=""),"",COUNTIFS(tblPresences[Étudiant],$C10,tblPresences[Code matière],P$5,tblPresences[Statut],"A"))</f>
        <v>0</v>
      </c>
      <c r="Q10" s="31">
        <f>IF(C10="","",SUM(E10:P10))</f>
        <v>0</v>
      </c>
      <c r="R10" s="30">
        <f>IF(C10="","",COUNTIFS(tblPresences[Étudiant],C10,tblPresences[Statut],"R"))</f>
        <v>0</v>
      </c>
      <c r="S10" s="124">
        <f>IF(C10="","",IFERROR((COUNTIFS(tblPresences[Étudiant],C10,tblPresences[Statut],"P")+COUNTIFS(tblPresences[Étudiant],C10,tblPresences[Statut],"R"))/COUNTIF(tblPresences[Étudiant],C10),""))</f>
        <v>0</v>
      </c>
      <c r="T10" s="30">
        <f>IF(C10="","",MAX(E10:P10))</f>
        <v>0</v>
      </c>
      <c r="U10" s="148">
        <f>IF(C10="","",IF(T10&gt;pSeuil,"⚠ ALERTE",""))</f>
        <v>0</v>
      </c>
    </row>
    <row r="11" spans="2:21">
      <c r="B11" s="145">
        <f>IF(C11="","",5)</f>
        <v>0</v>
      </c>
      <c r="C11" s="29">
        <f>IFERROR(INDEX(tblEtudiants[Nom et prénoms],5)&amp;"","")</f>
        <v>0</v>
      </c>
      <c r="D11" s="27">
        <f>IF(C11="","",INDEX(tblEtudiants[Groupe],5)&amp;"")</f>
        <v>0</v>
      </c>
      <c r="E11" s="27">
        <f>IF(OR($C11="",E$5=""),"",COUNTIFS(tblPresences[Étudiant],$C11,tblPresences[Code matière],E$5,tblPresences[Statut],"A"))</f>
        <v>0</v>
      </c>
      <c r="F11" s="27">
        <f>IF(OR($C11="",F$5=""),"",COUNTIFS(tblPresences[Étudiant],$C11,tblPresences[Code matière],F$5,tblPresences[Statut],"A"))</f>
        <v>0</v>
      </c>
      <c r="G11" s="27">
        <f>IF(OR($C11="",G$5=""),"",COUNTIFS(tblPresences[Étudiant],$C11,tblPresences[Code matière],G$5,tblPresences[Statut],"A"))</f>
        <v>0</v>
      </c>
      <c r="H11" s="27">
        <f>IF(OR($C11="",H$5=""),"",COUNTIFS(tblPresences[Étudiant],$C11,tblPresences[Code matière],H$5,tblPresences[Statut],"A"))</f>
        <v>0</v>
      </c>
      <c r="I11" s="27">
        <f>IF(OR($C11="",I$5=""),"",COUNTIFS(tblPresences[Étudiant],$C11,tblPresences[Code matière],I$5,tblPresences[Statut],"A"))</f>
        <v>0</v>
      </c>
      <c r="J11" s="27">
        <f>IF(OR($C11="",J$5=""),"",COUNTIFS(tblPresences[Étudiant],$C11,tblPresences[Code matière],J$5,tblPresences[Statut],"A"))</f>
        <v>0</v>
      </c>
      <c r="K11" s="27">
        <f>IF(OR($C11="",K$5=""),"",COUNTIFS(tblPresences[Étudiant],$C11,tblPresences[Code matière],K$5,tblPresences[Statut],"A"))</f>
        <v>0</v>
      </c>
      <c r="L11" s="27">
        <f>IF(OR($C11="",L$5=""),"",COUNTIFS(tblPresences[Étudiant],$C11,tblPresences[Code matière],L$5,tblPresences[Statut],"A"))</f>
        <v>0</v>
      </c>
      <c r="M11" s="27">
        <f>IF(OR($C11="",M$5=""),"",COUNTIFS(tblPresences[Étudiant],$C11,tblPresences[Code matière],M$5,tblPresences[Statut],"A"))</f>
        <v>0</v>
      </c>
      <c r="N11" s="27">
        <f>IF(OR($C11="",N$5=""),"",COUNTIFS(tblPresences[Étudiant],$C11,tblPresences[Code matière],N$5,tblPresences[Statut],"A"))</f>
        <v>0</v>
      </c>
      <c r="O11" s="27">
        <f>IF(OR($C11="",O$5=""),"",COUNTIFS(tblPresences[Étudiant],$C11,tblPresences[Code matière],O$5,tblPresences[Statut],"A"))</f>
        <v>0</v>
      </c>
      <c r="P11" s="27">
        <f>IF(OR($C11="",P$5=""),"",COUNTIFS(tblPresences[Étudiant],$C11,tblPresences[Code matière],P$5,tblPresences[Statut],"A"))</f>
        <v>0</v>
      </c>
      <c r="Q11" s="28">
        <f>IF(C11="","",SUM(E11:P11))</f>
        <v>0</v>
      </c>
      <c r="R11" s="27">
        <f>IF(C11="","",COUNTIFS(tblPresences[Étudiant],C11,tblPresences[Statut],"R"))</f>
        <v>0</v>
      </c>
      <c r="S11" s="123">
        <f>IF(C11="","",IFERROR((COUNTIFS(tblPresences[Étudiant],C11,tblPresences[Statut],"P")+COUNTIFS(tblPresences[Étudiant],C11,tblPresences[Statut],"R"))/COUNTIF(tblPresences[Étudiant],C11),""))</f>
        <v>0</v>
      </c>
      <c r="T11" s="27">
        <f>IF(C11="","",MAX(E11:P11))</f>
        <v>0</v>
      </c>
      <c r="U11" s="146">
        <f>IF(C11="","",IF(T11&gt;pSeuil,"⚠ ALERTE",""))</f>
        <v>0</v>
      </c>
    </row>
    <row r="12" spans="2:21">
      <c r="B12" s="147">
        <f>IF(C12="","",6)</f>
        <v>0</v>
      </c>
      <c r="C12" s="32">
        <f>IFERROR(INDEX(tblEtudiants[Nom et prénoms],6)&amp;"","")</f>
        <v>0</v>
      </c>
      <c r="D12" s="30">
        <f>IF(C12="","",INDEX(tblEtudiants[Groupe],6)&amp;"")</f>
        <v>0</v>
      </c>
      <c r="E12" s="30">
        <f>IF(OR($C12="",E$5=""),"",COUNTIFS(tblPresences[Étudiant],$C12,tblPresences[Code matière],E$5,tblPresences[Statut],"A"))</f>
        <v>0</v>
      </c>
      <c r="F12" s="30">
        <f>IF(OR($C12="",F$5=""),"",COUNTIFS(tblPresences[Étudiant],$C12,tblPresences[Code matière],F$5,tblPresences[Statut],"A"))</f>
        <v>0</v>
      </c>
      <c r="G12" s="30">
        <f>IF(OR($C12="",G$5=""),"",COUNTIFS(tblPresences[Étudiant],$C12,tblPresences[Code matière],G$5,tblPresences[Statut],"A"))</f>
        <v>0</v>
      </c>
      <c r="H12" s="30">
        <f>IF(OR($C12="",H$5=""),"",COUNTIFS(tblPresences[Étudiant],$C12,tblPresences[Code matière],H$5,tblPresences[Statut],"A"))</f>
        <v>0</v>
      </c>
      <c r="I12" s="30">
        <f>IF(OR($C12="",I$5=""),"",COUNTIFS(tblPresences[Étudiant],$C12,tblPresences[Code matière],I$5,tblPresences[Statut],"A"))</f>
        <v>0</v>
      </c>
      <c r="J12" s="30">
        <f>IF(OR($C12="",J$5=""),"",COUNTIFS(tblPresences[Étudiant],$C12,tblPresences[Code matière],J$5,tblPresences[Statut],"A"))</f>
        <v>0</v>
      </c>
      <c r="K12" s="30">
        <f>IF(OR($C12="",K$5=""),"",COUNTIFS(tblPresences[Étudiant],$C12,tblPresences[Code matière],K$5,tblPresences[Statut],"A"))</f>
        <v>0</v>
      </c>
      <c r="L12" s="30">
        <f>IF(OR($C12="",L$5=""),"",COUNTIFS(tblPresences[Étudiant],$C12,tblPresences[Code matière],L$5,tblPresences[Statut],"A"))</f>
        <v>0</v>
      </c>
      <c r="M12" s="30">
        <f>IF(OR($C12="",M$5=""),"",COUNTIFS(tblPresences[Étudiant],$C12,tblPresences[Code matière],M$5,tblPresences[Statut],"A"))</f>
        <v>0</v>
      </c>
      <c r="N12" s="30">
        <f>IF(OR($C12="",N$5=""),"",COUNTIFS(tblPresences[Étudiant],$C12,tblPresences[Code matière],N$5,tblPresences[Statut],"A"))</f>
        <v>0</v>
      </c>
      <c r="O12" s="30">
        <f>IF(OR($C12="",O$5=""),"",COUNTIFS(tblPresences[Étudiant],$C12,tblPresences[Code matière],O$5,tblPresences[Statut],"A"))</f>
        <v>0</v>
      </c>
      <c r="P12" s="30">
        <f>IF(OR($C12="",P$5=""),"",COUNTIFS(tblPresences[Étudiant],$C12,tblPresences[Code matière],P$5,tblPresences[Statut],"A"))</f>
        <v>0</v>
      </c>
      <c r="Q12" s="31">
        <f>IF(C12="","",SUM(E12:P12))</f>
        <v>0</v>
      </c>
      <c r="R12" s="30">
        <f>IF(C12="","",COUNTIFS(tblPresences[Étudiant],C12,tblPresences[Statut],"R"))</f>
        <v>0</v>
      </c>
      <c r="S12" s="124">
        <f>IF(C12="","",IFERROR((COUNTIFS(tblPresences[Étudiant],C12,tblPresences[Statut],"P")+COUNTIFS(tblPresences[Étudiant],C12,tblPresences[Statut],"R"))/COUNTIF(tblPresences[Étudiant],C12),""))</f>
        <v>0</v>
      </c>
      <c r="T12" s="30">
        <f>IF(C12="","",MAX(E12:P12))</f>
        <v>0</v>
      </c>
      <c r="U12" s="148">
        <f>IF(C12="","",IF(T12&gt;pSeuil,"⚠ ALERTE",""))</f>
        <v>0</v>
      </c>
    </row>
    <row r="13" spans="2:21">
      <c r="B13" s="145">
        <f>IF(C13="","",7)</f>
        <v>0</v>
      </c>
      <c r="C13" s="29">
        <f>IFERROR(INDEX(tblEtudiants[Nom et prénoms],7)&amp;"","")</f>
        <v>0</v>
      </c>
      <c r="D13" s="27">
        <f>IF(C13="","",INDEX(tblEtudiants[Groupe],7)&amp;"")</f>
        <v>0</v>
      </c>
      <c r="E13" s="27">
        <f>IF(OR($C13="",E$5=""),"",COUNTIFS(tblPresences[Étudiant],$C13,tblPresences[Code matière],E$5,tblPresences[Statut],"A"))</f>
        <v>0</v>
      </c>
      <c r="F13" s="27">
        <f>IF(OR($C13="",F$5=""),"",COUNTIFS(tblPresences[Étudiant],$C13,tblPresences[Code matière],F$5,tblPresences[Statut],"A"))</f>
        <v>0</v>
      </c>
      <c r="G13" s="27">
        <f>IF(OR($C13="",G$5=""),"",COUNTIFS(tblPresences[Étudiant],$C13,tblPresences[Code matière],G$5,tblPresences[Statut],"A"))</f>
        <v>0</v>
      </c>
      <c r="H13" s="27">
        <f>IF(OR($C13="",H$5=""),"",COUNTIFS(tblPresences[Étudiant],$C13,tblPresences[Code matière],H$5,tblPresences[Statut],"A"))</f>
        <v>0</v>
      </c>
      <c r="I13" s="27">
        <f>IF(OR($C13="",I$5=""),"",COUNTIFS(tblPresences[Étudiant],$C13,tblPresences[Code matière],I$5,tblPresences[Statut],"A"))</f>
        <v>0</v>
      </c>
      <c r="J13" s="27">
        <f>IF(OR($C13="",J$5=""),"",COUNTIFS(tblPresences[Étudiant],$C13,tblPresences[Code matière],J$5,tblPresences[Statut],"A"))</f>
        <v>0</v>
      </c>
      <c r="K13" s="27">
        <f>IF(OR($C13="",K$5=""),"",COUNTIFS(tblPresences[Étudiant],$C13,tblPresences[Code matière],K$5,tblPresences[Statut],"A"))</f>
        <v>0</v>
      </c>
      <c r="L13" s="27">
        <f>IF(OR($C13="",L$5=""),"",COUNTIFS(tblPresences[Étudiant],$C13,tblPresences[Code matière],L$5,tblPresences[Statut],"A"))</f>
        <v>0</v>
      </c>
      <c r="M13" s="27">
        <f>IF(OR($C13="",M$5=""),"",COUNTIFS(tblPresences[Étudiant],$C13,tblPresences[Code matière],M$5,tblPresences[Statut],"A"))</f>
        <v>0</v>
      </c>
      <c r="N13" s="27">
        <f>IF(OR($C13="",N$5=""),"",COUNTIFS(tblPresences[Étudiant],$C13,tblPresences[Code matière],N$5,tblPresences[Statut],"A"))</f>
        <v>0</v>
      </c>
      <c r="O13" s="27">
        <f>IF(OR($C13="",O$5=""),"",COUNTIFS(tblPresences[Étudiant],$C13,tblPresences[Code matière],O$5,tblPresences[Statut],"A"))</f>
        <v>0</v>
      </c>
      <c r="P13" s="27">
        <f>IF(OR($C13="",P$5=""),"",COUNTIFS(tblPresences[Étudiant],$C13,tblPresences[Code matière],P$5,tblPresences[Statut],"A"))</f>
        <v>0</v>
      </c>
      <c r="Q13" s="28">
        <f>IF(C13="","",SUM(E13:P13))</f>
        <v>0</v>
      </c>
      <c r="R13" s="27">
        <f>IF(C13="","",COUNTIFS(tblPresences[Étudiant],C13,tblPresences[Statut],"R"))</f>
        <v>0</v>
      </c>
      <c r="S13" s="123">
        <f>IF(C13="","",IFERROR((COUNTIFS(tblPresences[Étudiant],C13,tblPresences[Statut],"P")+COUNTIFS(tblPresences[Étudiant],C13,tblPresences[Statut],"R"))/COUNTIF(tblPresences[Étudiant],C13),""))</f>
        <v>0</v>
      </c>
      <c r="T13" s="27">
        <f>IF(C13="","",MAX(E13:P13))</f>
        <v>0</v>
      </c>
      <c r="U13" s="146">
        <f>IF(C13="","",IF(T13&gt;pSeuil,"⚠ ALERTE",""))</f>
        <v>0</v>
      </c>
    </row>
    <row r="14" spans="2:21">
      <c r="B14" s="147">
        <f>IF(C14="","",8)</f>
        <v>0</v>
      </c>
      <c r="C14" s="32">
        <f>IFERROR(INDEX(tblEtudiants[Nom et prénoms],8)&amp;"","")</f>
        <v>0</v>
      </c>
      <c r="D14" s="30">
        <f>IF(C14="","",INDEX(tblEtudiants[Groupe],8)&amp;"")</f>
        <v>0</v>
      </c>
      <c r="E14" s="30">
        <f>IF(OR($C14="",E$5=""),"",COUNTIFS(tblPresences[Étudiant],$C14,tblPresences[Code matière],E$5,tblPresences[Statut],"A"))</f>
        <v>0</v>
      </c>
      <c r="F14" s="30">
        <f>IF(OR($C14="",F$5=""),"",COUNTIFS(tblPresences[Étudiant],$C14,tblPresences[Code matière],F$5,tblPresences[Statut],"A"))</f>
        <v>0</v>
      </c>
      <c r="G14" s="30">
        <f>IF(OR($C14="",G$5=""),"",COUNTIFS(tblPresences[Étudiant],$C14,tblPresences[Code matière],G$5,tblPresences[Statut],"A"))</f>
        <v>0</v>
      </c>
      <c r="H14" s="30">
        <f>IF(OR($C14="",H$5=""),"",COUNTIFS(tblPresences[Étudiant],$C14,tblPresences[Code matière],H$5,tblPresences[Statut],"A"))</f>
        <v>0</v>
      </c>
      <c r="I14" s="30">
        <f>IF(OR($C14="",I$5=""),"",COUNTIFS(tblPresences[Étudiant],$C14,tblPresences[Code matière],I$5,tblPresences[Statut],"A"))</f>
        <v>0</v>
      </c>
      <c r="J14" s="30">
        <f>IF(OR($C14="",J$5=""),"",COUNTIFS(tblPresences[Étudiant],$C14,tblPresences[Code matière],J$5,tblPresences[Statut],"A"))</f>
        <v>0</v>
      </c>
      <c r="K14" s="30">
        <f>IF(OR($C14="",K$5=""),"",COUNTIFS(tblPresences[Étudiant],$C14,tblPresences[Code matière],K$5,tblPresences[Statut],"A"))</f>
        <v>0</v>
      </c>
      <c r="L14" s="30">
        <f>IF(OR($C14="",L$5=""),"",COUNTIFS(tblPresences[Étudiant],$C14,tblPresences[Code matière],L$5,tblPresences[Statut],"A"))</f>
        <v>0</v>
      </c>
      <c r="M14" s="30">
        <f>IF(OR($C14="",M$5=""),"",COUNTIFS(tblPresences[Étudiant],$C14,tblPresences[Code matière],M$5,tblPresences[Statut],"A"))</f>
        <v>0</v>
      </c>
      <c r="N14" s="30">
        <f>IF(OR($C14="",N$5=""),"",COUNTIFS(tblPresences[Étudiant],$C14,tblPresences[Code matière],N$5,tblPresences[Statut],"A"))</f>
        <v>0</v>
      </c>
      <c r="O14" s="30">
        <f>IF(OR($C14="",O$5=""),"",COUNTIFS(tblPresences[Étudiant],$C14,tblPresences[Code matière],O$5,tblPresences[Statut],"A"))</f>
        <v>0</v>
      </c>
      <c r="P14" s="30">
        <f>IF(OR($C14="",P$5=""),"",COUNTIFS(tblPresences[Étudiant],$C14,tblPresences[Code matière],P$5,tblPresences[Statut],"A"))</f>
        <v>0</v>
      </c>
      <c r="Q14" s="31">
        <f>IF(C14="","",SUM(E14:P14))</f>
        <v>0</v>
      </c>
      <c r="R14" s="30">
        <f>IF(C14="","",COUNTIFS(tblPresences[Étudiant],C14,tblPresences[Statut],"R"))</f>
        <v>0</v>
      </c>
      <c r="S14" s="124">
        <f>IF(C14="","",IFERROR((COUNTIFS(tblPresences[Étudiant],C14,tblPresences[Statut],"P")+COUNTIFS(tblPresences[Étudiant],C14,tblPresences[Statut],"R"))/COUNTIF(tblPresences[Étudiant],C14),""))</f>
        <v>0</v>
      </c>
      <c r="T14" s="30">
        <f>IF(C14="","",MAX(E14:P14))</f>
        <v>0</v>
      </c>
      <c r="U14" s="148">
        <f>IF(C14="","",IF(T14&gt;pSeuil,"⚠ ALERTE",""))</f>
        <v>0</v>
      </c>
    </row>
    <row r="15" spans="2:21">
      <c r="B15" s="145">
        <f>IF(C15="","",9)</f>
        <v>0</v>
      </c>
      <c r="C15" s="29">
        <f>IFERROR(INDEX(tblEtudiants[Nom et prénoms],9)&amp;"","")</f>
        <v>0</v>
      </c>
      <c r="D15" s="27">
        <f>IF(C15="","",INDEX(tblEtudiants[Groupe],9)&amp;"")</f>
        <v>0</v>
      </c>
      <c r="E15" s="27">
        <f>IF(OR($C15="",E$5=""),"",COUNTIFS(tblPresences[Étudiant],$C15,tblPresences[Code matière],E$5,tblPresences[Statut],"A"))</f>
        <v>0</v>
      </c>
      <c r="F15" s="27">
        <f>IF(OR($C15="",F$5=""),"",COUNTIFS(tblPresences[Étudiant],$C15,tblPresences[Code matière],F$5,tblPresences[Statut],"A"))</f>
        <v>0</v>
      </c>
      <c r="G15" s="27">
        <f>IF(OR($C15="",G$5=""),"",COUNTIFS(tblPresences[Étudiant],$C15,tblPresences[Code matière],G$5,tblPresences[Statut],"A"))</f>
        <v>0</v>
      </c>
      <c r="H15" s="27">
        <f>IF(OR($C15="",H$5=""),"",COUNTIFS(tblPresences[Étudiant],$C15,tblPresences[Code matière],H$5,tblPresences[Statut],"A"))</f>
        <v>0</v>
      </c>
      <c r="I15" s="27">
        <f>IF(OR($C15="",I$5=""),"",COUNTIFS(tblPresences[Étudiant],$C15,tblPresences[Code matière],I$5,tblPresences[Statut],"A"))</f>
        <v>0</v>
      </c>
      <c r="J15" s="27">
        <f>IF(OR($C15="",J$5=""),"",COUNTIFS(tblPresences[Étudiant],$C15,tblPresences[Code matière],J$5,tblPresences[Statut],"A"))</f>
        <v>0</v>
      </c>
      <c r="K15" s="27">
        <f>IF(OR($C15="",K$5=""),"",COUNTIFS(tblPresences[Étudiant],$C15,tblPresences[Code matière],K$5,tblPresences[Statut],"A"))</f>
        <v>0</v>
      </c>
      <c r="L15" s="27">
        <f>IF(OR($C15="",L$5=""),"",COUNTIFS(tblPresences[Étudiant],$C15,tblPresences[Code matière],L$5,tblPresences[Statut],"A"))</f>
        <v>0</v>
      </c>
      <c r="M15" s="27">
        <f>IF(OR($C15="",M$5=""),"",COUNTIFS(tblPresences[Étudiant],$C15,tblPresences[Code matière],M$5,tblPresences[Statut],"A"))</f>
        <v>0</v>
      </c>
      <c r="N15" s="27">
        <f>IF(OR($C15="",N$5=""),"",COUNTIFS(tblPresences[Étudiant],$C15,tblPresences[Code matière],N$5,tblPresences[Statut],"A"))</f>
        <v>0</v>
      </c>
      <c r="O15" s="27">
        <f>IF(OR($C15="",O$5=""),"",COUNTIFS(tblPresences[Étudiant],$C15,tblPresences[Code matière],O$5,tblPresences[Statut],"A"))</f>
        <v>0</v>
      </c>
      <c r="P15" s="27">
        <f>IF(OR($C15="",P$5=""),"",COUNTIFS(tblPresences[Étudiant],$C15,tblPresences[Code matière],P$5,tblPresences[Statut],"A"))</f>
        <v>0</v>
      </c>
      <c r="Q15" s="28">
        <f>IF(C15="","",SUM(E15:P15))</f>
        <v>0</v>
      </c>
      <c r="R15" s="27">
        <f>IF(C15="","",COUNTIFS(tblPresences[Étudiant],C15,tblPresences[Statut],"R"))</f>
        <v>0</v>
      </c>
      <c r="S15" s="123">
        <f>IF(C15="","",IFERROR((COUNTIFS(tblPresences[Étudiant],C15,tblPresences[Statut],"P")+COUNTIFS(tblPresences[Étudiant],C15,tblPresences[Statut],"R"))/COUNTIF(tblPresences[Étudiant],C15),""))</f>
        <v>0</v>
      </c>
      <c r="T15" s="27">
        <f>IF(C15="","",MAX(E15:P15))</f>
        <v>0</v>
      </c>
      <c r="U15" s="146">
        <f>IF(C15="","",IF(T15&gt;pSeuil,"⚠ ALERTE",""))</f>
        <v>0</v>
      </c>
    </row>
    <row r="16" spans="2:21">
      <c r="B16" s="147">
        <f>IF(C16="","",10)</f>
        <v>0</v>
      </c>
      <c r="C16" s="32">
        <f>IFERROR(INDEX(tblEtudiants[Nom et prénoms],10)&amp;"","")</f>
        <v>0</v>
      </c>
      <c r="D16" s="30">
        <f>IF(C16="","",INDEX(tblEtudiants[Groupe],10)&amp;"")</f>
        <v>0</v>
      </c>
      <c r="E16" s="30">
        <f>IF(OR($C16="",E$5=""),"",COUNTIFS(tblPresences[Étudiant],$C16,tblPresences[Code matière],E$5,tblPresences[Statut],"A"))</f>
        <v>0</v>
      </c>
      <c r="F16" s="30">
        <f>IF(OR($C16="",F$5=""),"",COUNTIFS(tblPresences[Étudiant],$C16,tblPresences[Code matière],F$5,tblPresences[Statut],"A"))</f>
        <v>0</v>
      </c>
      <c r="G16" s="30">
        <f>IF(OR($C16="",G$5=""),"",COUNTIFS(tblPresences[Étudiant],$C16,tblPresences[Code matière],G$5,tblPresences[Statut],"A"))</f>
        <v>0</v>
      </c>
      <c r="H16" s="30">
        <f>IF(OR($C16="",H$5=""),"",COUNTIFS(tblPresences[Étudiant],$C16,tblPresences[Code matière],H$5,tblPresences[Statut],"A"))</f>
        <v>0</v>
      </c>
      <c r="I16" s="30">
        <f>IF(OR($C16="",I$5=""),"",COUNTIFS(tblPresences[Étudiant],$C16,tblPresences[Code matière],I$5,tblPresences[Statut],"A"))</f>
        <v>0</v>
      </c>
      <c r="J16" s="30">
        <f>IF(OR($C16="",J$5=""),"",COUNTIFS(tblPresences[Étudiant],$C16,tblPresences[Code matière],J$5,tblPresences[Statut],"A"))</f>
        <v>0</v>
      </c>
      <c r="K16" s="30">
        <f>IF(OR($C16="",K$5=""),"",COUNTIFS(tblPresences[Étudiant],$C16,tblPresences[Code matière],K$5,tblPresences[Statut],"A"))</f>
        <v>0</v>
      </c>
      <c r="L16" s="30">
        <f>IF(OR($C16="",L$5=""),"",COUNTIFS(tblPresences[Étudiant],$C16,tblPresences[Code matière],L$5,tblPresences[Statut],"A"))</f>
        <v>0</v>
      </c>
      <c r="M16" s="30">
        <f>IF(OR($C16="",M$5=""),"",COUNTIFS(tblPresences[Étudiant],$C16,tblPresences[Code matière],M$5,tblPresences[Statut],"A"))</f>
        <v>0</v>
      </c>
      <c r="N16" s="30">
        <f>IF(OR($C16="",N$5=""),"",COUNTIFS(tblPresences[Étudiant],$C16,tblPresences[Code matière],N$5,tblPresences[Statut],"A"))</f>
        <v>0</v>
      </c>
      <c r="O16" s="30">
        <f>IF(OR($C16="",O$5=""),"",COUNTIFS(tblPresences[Étudiant],$C16,tblPresences[Code matière],O$5,tblPresences[Statut],"A"))</f>
        <v>0</v>
      </c>
      <c r="P16" s="30">
        <f>IF(OR($C16="",P$5=""),"",COUNTIFS(tblPresences[Étudiant],$C16,tblPresences[Code matière],P$5,tblPresences[Statut],"A"))</f>
        <v>0</v>
      </c>
      <c r="Q16" s="31">
        <f>IF(C16="","",SUM(E16:P16))</f>
        <v>0</v>
      </c>
      <c r="R16" s="30">
        <f>IF(C16="","",COUNTIFS(tblPresences[Étudiant],C16,tblPresences[Statut],"R"))</f>
        <v>0</v>
      </c>
      <c r="S16" s="124">
        <f>IF(C16="","",IFERROR((COUNTIFS(tblPresences[Étudiant],C16,tblPresences[Statut],"P")+COUNTIFS(tblPresences[Étudiant],C16,tblPresences[Statut],"R"))/COUNTIF(tblPresences[Étudiant],C16),""))</f>
        <v>0</v>
      </c>
      <c r="T16" s="30">
        <f>IF(C16="","",MAX(E16:P16))</f>
        <v>0</v>
      </c>
      <c r="U16" s="148">
        <f>IF(C16="","",IF(T16&gt;pSeuil,"⚠ ALERTE",""))</f>
        <v>0</v>
      </c>
    </row>
    <row r="17" spans="2:21">
      <c r="B17" s="145">
        <f>IF(C17="","",11)</f>
        <v>0</v>
      </c>
      <c r="C17" s="29">
        <f>IFERROR(INDEX(tblEtudiants[Nom et prénoms],11)&amp;"","")</f>
        <v>0</v>
      </c>
      <c r="D17" s="27">
        <f>IF(C17="","",INDEX(tblEtudiants[Groupe],11)&amp;"")</f>
        <v>0</v>
      </c>
      <c r="E17" s="27">
        <f>IF(OR($C17="",E$5=""),"",COUNTIFS(tblPresences[Étudiant],$C17,tblPresences[Code matière],E$5,tblPresences[Statut],"A"))</f>
        <v>0</v>
      </c>
      <c r="F17" s="27">
        <f>IF(OR($C17="",F$5=""),"",COUNTIFS(tblPresences[Étudiant],$C17,tblPresences[Code matière],F$5,tblPresences[Statut],"A"))</f>
        <v>0</v>
      </c>
      <c r="G17" s="27">
        <f>IF(OR($C17="",G$5=""),"",COUNTIFS(tblPresences[Étudiant],$C17,tblPresences[Code matière],G$5,tblPresences[Statut],"A"))</f>
        <v>0</v>
      </c>
      <c r="H17" s="27">
        <f>IF(OR($C17="",H$5=""),"",COUNTIFS(tblPresences[Étudiant],$C17,tblPresences[Code matière],H$5,tblPresences[Statut],"A"))</f>
        <v>0</v>
      </c>
      <c r="I17" s="27">
        <f>IF(OR($C17="",I$5=""),"",COUNTIFS(tblPresences[Étudiant],$C17,tblPresences[Code matière],I$5,tblPresences[Statut],"A"))</f>
        <v>0</v>
      </c>
      <c r="J17" s="27">
        <f>IF(OR($C17="",J$5=""),"",COUNTIFS(tblPresences[Étudiant],$C17,tblPresences[Code matière],J$5,tblPresences[Statut],"A"))</f>
        <v>0</v>
      </c>
      <c r="K17" s="27">
        <f>IF(OR($C17="",K$5=""),"",COUNTIFS(tblPresences[Étudiant],$C17,tblPresences[Code matière],K$5,tblPresences[Statut],"A"))</f>
        <v>0</v>
      </c>
      <c r="L17" s="27">
        <f>IF(OR($C17="",L$5=""),"",COUNTIFS(tblPresences[Étudiant],$C17,tblPresences[Code matière],L$5,tblPresences[Statut],"A"))</f>
        <v>0</v>
      </c>
      <c r="M17" s="27">
        <f>IF(OR($C17="",M$5=""),"",COUNTIFS(tblPresences[Étudiant],$C17,tblPresences[Code matière],M$5,tblPresences[Statut],"A"))</f>
        <v>0</v>
      </c>
      <c r="N17" s="27">
        <f>IF(OR($C17="",N$5=""),"",COUNTIFS(tblPresences[Étudiant],$C17,tblPresences[Code matière],N$5,tblPresences[Statut],"A"))</f>
        <v>0</v>
      </c>
      <c r="O17" s="27">
        <f>IF(OR($C17="",O$5=""),"",COUNTIFS(tblPresences[Étudiant],$C17,tblPresences[Code matière],O$5,tblPresences[Statut],"A"))</f>
        <v>0</v>
      </c>
      <c r="P17" s="27">
        <f>IF(OR($C17="",P$5=""),"",COUNTIFS(tblPresences[Étudiant],$C17,tblPresences[Code matière],P$5,tblPresences[Statut],"A"))</f>
        <v>0</v>
      </c>
      <c r="Q17" s="28">
        <f>IF(C17="","",SUM(E17:P17))</f>
        <v>0</v>
      </c>
      <c r="R17" s="27">
        <f>IF(C17="","",COUNTIFS(tblPresences[Étudiant],C17,tblPresences[Statut],"R"))</f>
        <v>0</v>
      </c>
      <c r="S17" s="123">
        <f>IF(C17="","",IFERROR((COUNTIFS(tblPresences[Étudiant],C17,tblPresences[Statut],"P")+COUNTIFS(tblPresences[Étudiant],C17,tblPresences[Statut],"R"))/COUNTIF(tblPresences[Étudiant],C17),""))</f>
        <v>0</v>
      </c>
      <c r="T17" s="27">
        <f>IF(C17="","",MAX(E17:P17))</f>
        <v>0</v>
      </c>
      <c r="U17" s="146">
        <f>IF(C17="","",IF(T17&gt;pSeuil,"⚠ ALERTE",""))</f>
        <v>0</v>
      </c>
    </row>
    <row r="18" spans="2:21">
      <c r="B18" s="147">
        <f>IF(C18="","",12)</f>
        <v>0</v>
      </c>
      <c r="C18" s="32">
        <f>IFERROR(INDEX(tblEtudiants[Nom et prénoms],12)&amp;"","")</f>
        <v>0</v>
      </c>
      <c r="D18" s="30">
        <f>IF(C18="","",INDEX(tblEtudiants[Groupe],12)&amp;"")</f>
        <v>0</v>
      </c>
      <c r="E18" s="30">
        <f>IF(OR($C18="",E$5=""),"",COUNTIFS(tblPresences[Étudiant],$C18,tblPresences[Code matière],E$5,tblPresences[Statut],"A"))</f>
        <v>0</v>
      </c>
      <c r="F18" s="30">
        <f>IF(OR($C18="",F$5=""),"",COUNTIFS(tblPresences[Étudiant],$C18,tblPresences[Code matière],F$5,tblPresences[Statut],"A"))</f>
        <v>0</v>
      </c>
      <c r="G18" s="30">
        <f>IF(OR($C18="",G$5=""),"",COUNTIFS(tblPresences[Étudiant],$C18,tblPresences[Code matière],G$5,tblPresences[Statut],"A"))</f>
        <v>0</v>
      </c>
      <c r="H18" s="30">
        <f>IF(OR($C18="",H$5=""),"",COUNTIFS(tblPresences[Étudiant],$C18,tblPresences[Code matière],H$5,tblPresences[Statut],"A"))</f>
        <v>0</v>
      </c>
      <c r="I18" s="30">
        <f>IF(OR($C18="",I$5=""),"",COUNTIFS(tblPresences[Étudiant],$C18,tblPresences[Code matière],I$5,tblPresences[Statut],"A"))</f>
        <v>0</v>
      </c>
      <c r="J18" s="30">
        <f>IF(OR($C18="",J$5=""),"",COUNTIFS(tblPresences[Étudiant],$C18,tblPresences[Code matière],J$5,tblPresences[Statut],"A"))</f>
        <v>0</v>
      </c>
      <c r="K18" s="30">
        <f>IF(OR($C18="",K$5=""),"",COUNTIFS(tblPresences[Étudiant],$C18,tblPresences[Code matière],K$5,tblPresences[Statut],"A"))</f>
        <v>0</v>
      </c>
      <c r="L18" s="30">
        <f>IF(OR($C18="",L$5=""),"",COUNTIFS(tblPresences[Étudiant],$C18,tblPresences[Code matière],L$5,tblPresences[Statut],"A"))</f>
        <v>0</v>
      </c>
      <c r="M18" s="30">
        <f>IF(OR($C18="",M$5=""),"",COUNTIFS(tblPresences[Étudiant],$C18,tblPresences[Code matière],M$5,tblPresences[Statut],"A"))</f>
        <v>0</v>
      </c>
      <c r="N18" s="30">
        <f>IF(OR($C18="",N$5=""),"",COUNTIFS(tblPresences[Étudiant],$C18,tblPresences[Code matière],N$5,tblPresences[Statut],"A"))</f>
        <v>0</v>
      </c>
      <c r="O18" s="30">
        <f>IF(OR($C18="",O$5=""),"",COUNTIFS(tblPresences[Étudiant],$C18,tblPresences[Code matière],O$5,tblPresences[Statut],"A"))</f>
        <v>0</v>
      </c>
      <c r="P18" s="30">
        <f>IF(OR($C18="",P$5=""),"",COUNTIFS(tblPresences[Étudiant],$C18,tblPresences[Code matière],P$5,tblPresences[Statut],"A"))</f>
        <v>0</v>
      </c>
      <c r="Q18" s="31">
        <f>IF(C18="","",SUM(E18:P18))</f>
        <v>0</v>
      </c>
      <c r="R18" s="30">
        <f>IF(C18="","",COUNTIFS(tblPresences[Étudiant],C18,tblPresences[Statut],"R"))</f>
        <v>0</v>
      </c>
      <c r="S18" s="124">
        <f>IF(C18="","",IFERROR((COUNTIFS(tblPresences[Étudiant],C18,tblPresences[Statut],"P")+COUNTIFS(tblPresences[Étudiant],C18,tblPresences[Statut],"R"))/COUNTIF(tblPresences[Étudiant],C18),""))</f>
        <v>0</v>
      </c>
      <c r="T18" s="30">
        <f>IF(C18="","",MAX(E18:P18))</f>
        <v>0</v>
      </c>
      <c r="U18" s="148">
        <f>IF(C18="","",IF(T18&gt;pSeuil,"⚠ ALERTE",""))</f>
        <v>0</v>
      </c>
    </row>
    <row r="19" spans="2:21">
      <c r="B19" s="145">
        <f>IF(C19="","",13)</f>
        <v>0</v>
      </c>
      <c r="C19" s="29">
        <f>IFERROR(INDEX(tblEtudiants[Nom et prénoms],13)&amp;"","")</f>
        <v>0</v>
      </c>
      <c r="D19" s="27">
        <f>IF(C19="","",INDEX(tblEtudiants[Groupe],13)&amp;"")</f>
        <v>0</v>
      </c>
      <c r="E19" s="27">
        <f>IF(OR($C19="",E$5=""),"",COUNTIFS(tblPresences[Étudiant],$C19,tblPresences[Code matière],E$5,tblPresences[Statut],"A"))</f>
        <v>0</v>
      </c>
      <c r="F19" s="27">
        <f>IF(OR($C19="",F$5=""),"",COUNTIFS(tblPresences[Étudiant],$C19,tblPresences[Code matière],F$5,tblPresences[Statut],"A"))</f>
        <v>0</v>
      </c>
      <c r="G19" s="27">
        <f>IF(OR($C19="",G$5=""),"",COUNTIFS(tblPresences[Étudiant],$C19,tblPresences[Code matière],G$5,tblPresences[Statut],"A"))</f>
        <v>0</v>
      </c>
      <c r="H19" s="27">
        <f>IF(OR($C19="",H$5=""),"",COUNTIFS(tblPresences[Étudiant],$C19,tblPresences[Code matière],H$5,tblPresences[Statut],"A"))</f>
        <v>0</v>
      </c>
      <c r="I19" s="27">
        <f>IF(OR($C19="",I$5=""),"",COUNTIFS(tblPresences[Étudiant],$C19,tblPresences[Code matière],I$5,tblPresences[Statut],"A"))</f>
        <v>0</v>
      </c>
      <c r="J19" s="27">
        <f>IF(OR($C19="",J$5=""),"",COUNTIFS(tblPresences[Étudiant],$C19,tblPresences[Code matière],J$5,tblPresences[Statut],"A"))</f>
        <v>0</v>
      </c>
      <c r="K19" s="27">
        <f>IF(OR($C19="",K$5=""),"",COUNTIFS(tblPresences[Étudiant],$C19,tblPresences[Code matière],K$5,tblPresences[Statut],"A"))</f>
        <v>0</v>
      </c>
      <c r="L19" s="27">
        <f>IF(OR($C19="",L$5=""),"",COUNTIFS(tblPresences[Étudiant],$C19,tblPresences[Code matière],L$5,tblPresences[Statut],"A"))</f>
        <v>0</v>
      </c>
      <c r="M19" s="27">
        <f>IF(OR($C19="",M$5=""),"",COUNTIFS(tblPresences[Étudiant],$C19,tblPresences[Code matière],M$5,tblPresences[Statut],"A"))</f>
        <v>0</v>
      </c>
      <c r="N19" s="27">
        <f>IF(OR($C19="",N$5=""),"",COUNTIFS(tblPresences[Étudiant],$C19,tblPresences[Code matière],N$5,tblPresences[Statut],"A"))</f>
        <v>0</v>
      </c>
      <c r="O19" s="27">
        <f>IF(OR($C19="",O$5=""),"",COUNTIFS(tblPresences[Étudiant],$C19,tblPresences[Code matière],O$5,tblPresences[Statut],"A"))</f>
        <v>0</v>
      </c>
      <c r="P19" s="27">
        <f>IF(OR($C19="",P$5=""),"",COUNTIFS(tblPresences[Étudiant],$C19,tblPresences[Code matière],P$5,tblPresences[Statut],"A"))</f>
        <v>0</v>
      </c>
      <c r="Q19" s="28">
        <f>IF(C19="","",SUM(E19:P19))</f>
        <v>0</v>
      </c>
      <c r="R19" s="27">
        <f>IF(C19="","",COUNTIFS(tblPresences[Étudiant],C19,tblPresences[Statut],"R"))</f>
        <v>0</v>
      </c>
      <c r="S19" s="123">
        <f>IF(C19="","",IFERROR((COUNTIFS(tblPresences[Étudiant],C19,tblPresences[Statut],"P")+COUNTIFS(tblPresences[Étudiant],C19,tblPresences[Statut],"R"))/COUNTIF(tblPresences[Étudiant],C19),""))</f>
        <v>0</v>
      </c>
      <c r="T19" s="27">
        <f>IF(C19="","",MAX(E19:P19))</f>
        <v>0</v>
      </c>
      <c r="U19" s="146">
        <f>IF(C19="","",IF(T19&gt;pSeuil,"⚠ ALERTE",""))</f>
        <v>0</v>
      </c>
    </row>
    <row r="20" spans="2:21">
      <c r="B20" s="147">
        <f>IF(C20="","",14)</f>
        <v>0</v>
      </c>
      <c r="C20" s="32">
        <f>IFERROR(INDEX(tblEtudiants[Nom et prénoms],14)&amp;"","")</f>
        <v>0</v>
      </c>
      <c r="D20" s="30">
        <f>IF(C20="","",INDEX(tblEtudiants[Groupe],14)&amp;"")</f>
        <v>0</v>
      </c>
      <c r="E20" s="30">
        <f>IF(OR($C20="",E$5=""),"",COUNTIFS(tblPresences[Étudiant],$C20,tblPresences[Code matière],E$5,tblPresences[Statut],"A"))</f>
        <v>0</v>
      </c>
      <c r="F20" s="30">
        <f>IF(OR($C20="",F$5=""),"",COUNTIFS(tblPresences[Étudiant],$C20,tblPresences[Code matière],F$5,tblPresences[Statut],"A"))</f>
        <v>0</v>
      </c>
      <c r="G20" s="30">
        <f>IF(OR($C20="",G$5=""),"",COUNTIFS(tblPresences[Étudiant],$C20,tblPresences[Code matière],G$5,tblPresences[Statut],"A"))</f>
        <v>0</v>
      </c>
      <c r="H20" s="30">
        <f>IF(OR($C20="",H$5=""),"",COUNTIFS(tblPresences[Étudiant],$C20,tblPresences[Code matière],H$5,tblPresences[Statut],"A"))</f>
        <v>0</v>
      </c>
      <c r="I20" s="30">
        <f>IF(OR($C20="",I$5=""),"",COUNTIFS(tblPresences[Étudiant],$C20,tblPresences[Code matière],I$5,tblPresences[Statut],"A"))</f>
        <v>0</v>
      </c>
      <c r="J20" s="30">
        <f>IF(OR($C20="",J$5=""),"",COUNTIFS(tblPresences[Étudiant],$C20,tblPresences[Code matière],J$5,tblPresences[Statut],"A"))</f>
        <v>0</v>
      </c>
      <c r="K20" s="30">
        <f>IF(OR($C20="",K$5=""),"",COUNTIFS(tblPresences[Étudiant],$C20,tblPresences[Code matière],K$5,tblPresences[Statut],"A"))</f>
        <v>0</v>
      </c>
      <c r="L20" s="30">
        <f>IF(OR($C20="",L$5=""),"",COUNTIFS(tblPresences[Étudiant],$C20,tblPresences[Code matière],L$5,tblPresences[Statut],"A"))</f>
        <v>0</v>
      </c>
      <c r="M20" s="30">
        <f>IF(OR($C20="",M$5=""),"",COUNTIFS(tblPresences[Étudiant],$C20,tblPresences[Code matière],M$5,tblPresences[Statut],"A"))</f>
        <v>0</v>
      </c>
      <c r="N20" s="30">
        <f>IF(OR($C20="",N$5=""),"",COUNTIFS(tblPresences[Étudiant],$C20,tblPresences[Code matière],N$5,tblPresences[Statut],"A"))</f>
        <v>0</v>
      </c>
      <c r="O20" s="30">
        <f>IF(OR($C20="",O$5=""),"",COUNTIFS(tblPresences[Étudiant],$C20,tblPresences[Code matière],O$5,tblPresences[Statut],"A"))</f>
        <v>0</v>
      </c>
      <c r="P20" s="30">
        <f>IF(OR($C20="",P$5=""),"",COUNTIFS(tblPresences[Étudiant],$C20,tblPresences[Code matière],P$5,tblPresences[Statut],"A"))</f>
        <v>0</v>
      </c>
      <c r="Q20" s="31">
        <f>IF(C20="","",SUM(E20:P20))</f>
        <v>0</v>
      </c>
      <c r="R20" s="30">
        <f>IF(C20="","",COUNTIFS(tblPresences[Étudiant],C20,tblPresences[Statut],"R"))</f>
        <v>0</v>
      </c>
      <c r="S20" s="124">
        <f>IF(C20="","",IFERROR((COUNTIFS(tblPresences[Étudiant],C20,tblPresences[Statut],"P")+COUNTIFS(tblPresences[Étudiant],C20,tblPresences[Statut],"R"))/COUNTIF(tblPresences[Étudiant],C20),""))</f>
        <v>0</v>
      </c>
      <c r="T20" s="30">
        <f>IF(C20="","",MAX(E20:P20))</f>
        <v>0</v>
      </c>
      <c r="U20" s="148">
        <f>IF(C20="","",IF(T20&gt;pSeuil,"⚠ ALERTE",""))</f>
        <v>0</v>
      </c>
    </row>
    <row r="21" spans="2:21">
      <c r="B21" s="145">
        <f>IF(C21="","",15)</f>
        <v>0</v>
      </c>
      <c r="C21" s="29">
        <f>IFERROR(INDEX(tblEtudiants[Nom et prénoms],15)&amp;"","")</f>
        <v>0</v>
      </c>
      <c r="D21" s="27">
        <f>IF(C21="","",INDEX(tblEtudiants[Groupe],15)&amp;"")</f>
        <v>0</v>
      </c>
      <c r="E21" s="27">
        <f>IF(OR($C21="",E$5=""),"",COUNTIFS(tblPresences[Étudiant],$C21,tblPresences[Code matière],E$5,tblPresences[Statut],"A"))</f>
        <v>0</v>
      </c>
      <c r="F21" s="27">
        <f>IF(OR($C21="",F$5=""),"",COUNTIFS(tblPresences[Étudiant],$C21,tblPresences[Code matière],F$5,tblPresences[Statut],"A"))</f>
        <v>0</v>
      </c>
      <c r="G21" s="27">
        <f>IF(OR($C21="",G$5=""),"",COUNTIFS(tblPresences[Étudiant],$C21,tblPresences[Code matière],G$5,tblPresences[Statut],"A"))</f>
        <v>0</v>
      </c>
      <c r="H21" s="27">
        <f>IF(OR($C21="",H$5=""),"",COUNTIFS(tblPresences[Étudiant],$C21,tblPresences[Code matière],H$5,tblPresences[Statut],"A"))</f>
        <v>0</v>
      </c>
      <c r="I21" s="27">
        <f>IF(OR($C21="",I$5=""),"",COUNTIFS(tblPresences[Étudiant],$C21,tblPresences[Code matière],I$5,tblPresences[Statut],"A"))</f>
        <v>0</v>
      </c>
      <c r="J21" s="27">
        <f>IF(OR($C21="",J$5=""),"",COUNTIFS(tblPresences[Étudiant],$C21,tblPresences[Code matière],J$5,tblPresences[Statut],"A"))</f>
        <v>0</v>
      </c>
      <c r="K21" s="27">
        <f>IF(OR($C21="",K$5=""),"",COUNTIFS(tblPresences[Étudiant],$C21,tblPresences[Code matière],K$5,tblPresences[Statut],"A"))</f>
        <v>0</v>
      </c>
      <c r="L21" s="27">
        <f>IF(OR($C21="",L$5=""),"",COUNTIFS(tblPresences[Étudiant],$C21,tblPresences[Code matière],L$5,tblPresences[Statut],"A"))</f>
        <v>0</v>
      </c>
      <c r="M21" s="27">
        <f>IF(OR($C21="",M$5=""),"",COUNTIFS(tblPresences[Étudiant],$C21,tblPresences[Code matière],M$5,tblPresences[Statut],"A"))</f>
        <v>0</v>
      </c>
      <c r="N21" s="27">
        <f>IF(OR($C21="",N$5=""),"",COUNTIFS(tblPresences[Étudiant],$C21,tblPresences[Code matière],N$5,tblPresences[Statut],"A"))</f>
        <v>0</v>
      </c>
      <c r="O21" s="27">
        <f>IF(OR($C21="",O$5=""),"",COUNTIFS(tblPresences[Étudiant],$C21,tblPresences[Code matière],O$5,tblPresences[Statut],"A"))</f>
        <v>0</v>
      </c>
      <c r="P21" s="27">
        <f>IF(OR($C21="",P$5=""),"",COUNTIFS(tblPresences[Étudiant],$C21,tblPresences[Code matière],P$5,tblPresences[Statut],"A"))</f>
        <v>0</v>
      </c>
      <c r="Q21" s="28">
        <f>IF(C21="","",SUM(E21:P21))</f>
        <v>0</v>
      </c>
      <c r="R21" s="27">
        <f>IF(C21="","",COUNTIFS(tblPresences[Étudiant],C21,tblPresences[Statut],"R"))</f>
        <v>0</v>
      </c>
      <c r="S21" s="123">
        <f>IF(C21="","",IFERROR((COUNTIFS(tblPresences[Étudiant],C21,tblPresences[Statut],"P")+COUNTIFS(tblPresences[Étudiant],C21,tblPresences[Statut],"R"))/COUNTIF(tblPresences[Étudiant],C21),""))</f>
        <v>0</v>
      </c>
      <c r="T21" s="27">
        <f>IF(C21="","",MAX(E21:P21))</f>
        <v>0</v>
      </c>
      <c r="U21" s="146">
        <f>IF(C21="","",IF(T21&gt;pSeuil,"⚠ ALERTE",""))</f>
        <v>0</v>
      </c>
    </row>
    <row r="22" spans="2:21">
      <c r="B22" s="147">
        <f>IF(C22="","",16)</f>
        <v>0</v>
      </c>
      <c r="C22" s="32">
        <f>IFERROR(INDEX(tblEtudiants[Nom et prénoms],16)&amp;"","")</f>
        <v>0</v>
      </c>
      <c r="D22" s="30">
        <f>IF(C22="","",INDEX(tblEtudiants[Groupe],16)&amp;"")</f>
        <v>0</v>
      </c>
      <c r="E22" s="30">
        <f>IF(OR($C22="",E$5=""),"",COUNTIFS(tblPresences[Étudiant],$C22,tblPresences[Code matière],E$5,tblPresences[Statut],"A"))</f>
        <v>0</v>
      </c>
      <c r="F22" s="30">
        <f>IF(OR($C22="",F$5=""),"",COUNTIFS(tblPresences[Étudiant],$C22,tblPresences[Code matière],F$5,tblPresences[Statut],"A"))</f>
        <v>0</v>
      </c>
      <c r="G22" s="30">
        <f>IF(OR($C22="",G$5=""),"",COUNTIFS(tblPresences[Étudiant],$C22,tblPresences[Code matière],G$5,tblPresences[Statut],"A"))</f>
        <v>0</v>
      </c>
      <c r="H22" s="30">
        <f>IF(OR($C22="",H$5=""),"",COUNTIFS(tblPresences[Étudiant],$C22,tblPresences[Code matière],H$5,tblPresences[Statut],"A"))</f>
        <v>0</v>
      </c>
      <c r="I22" s="30">
        <f>IF(OR($C22="",I$5=""),"",COUNTIFS(tblPresences[Étudiant],$C22,tblPresences[Code matière],I$5,tblPresences[Statut],"A"))</f>
        <v>0</v>
      </c>
      <c r="J22" s="30">
        <f>IF(OR($C22="",J$5=""),"",COUNTIFS(tblPresences[Étudiant],$C22,tblPresences[Code matière],J$5,tblPresences[Statut],"A"))</f>
        <v>0</v>
      </c>
      <c r="K22" s="30">
        <f>IF(OR($C22="",K$5=""),"",COUNTIFS(tblPresences[Étudiant],$C22,tblPresences[Code matière],K$5,tblPresences[Statut],"A"))</f>
        <v>0</v>
      </c>
      <c r="L22" s="30">
        <f>IF(OR($C22="",L$5=""),"",COUNTIFS(tblPresences[Étudiant],$C22,tblPresences[Code matière],L$5,tblPresences[Statut],"A"))</f>
        <v>0</v>
      </c>
      <c r="M22" s="30">
        <f>IF(OR($C22="",M$5=""),"",COUNTIFS(tblPresences[Étudiant],$C22,tblPresences[Code matière],M$5,tblPresences[Statut],"A"))</f>
        <v>0</v>
      </c>
      <c r="N22" s="30">
        <f>IF(OR($C22="",N$5=""),"",COUNTIFS(tblPresences[Étudiant],$C22,tblPresences[Code matière],N$5,tblPresences[Statut],"A"))</f>
        <v>0</v>
      </c>
      <c r="O22" s="30">
        <f>IF(OR($C22="",O$5=""),"",COUNTIFS(tblPresences[Étudiant],$C22,tblPresences[Code matière],O$5,tblPresences[Statut],"A"))</f>
        <v>0</v>
      </c>
      <c r="P22" s="30">
        <f>IF(OR($C22="",P$5=""),"",COUNTIFS(tblPresences[Étudiant],$C22,tblPresences[Code matière],P$5,tblPresences[Statut],"A"))</f>
        <v>0</v>
      </c>
      <c r="Q22" s="31">
        <f>IF(C22="","",SUM(E22:P22))</f>
        <v>0</v>
      </c>
      <c r="R22" s="30">
        <f>IF(C22="","",COUNTIFS(tblPresences[Étudiant],C22,tblPresences[Statut],"R"))</f>
        <v>0</v>
      </c>
      <c r="S22" s="124">
        <f>IF(C22="","",IFERROR((COUNTIFS(tblPresences[Étudiant],C22,tblPresences[Statut],"P")+COUNTIFS(tblPresences[Étudiant],C22,tblPresences[Statut],"R"))/COUNTIF(tblPresences[Étudiant],C22),""))</f>
        <v>0</v>
      </c>
      <c r="T22" s="30">
        <f>IF(C22="","",MAX(E22:P22))</f>
        <v>0</v>
      </c>
      <c r="U22" s="148">
        <f>IF(C22="","",IF(T22&gt;pSeuil,"⚠ ALERTE",""))</f>
        <v>0</v>
      </c>
    </row>
    <row r="23" spans="2:21">
      <c r="B23" s="145">
        <f>IF(C23="","",17)</f>
        <v>0</v>
      </c>
      <c r="C23" s="29">
        <f>IFERROR(INDEX(tblEtudiants[Nom et prénoms],17)&amp;"","")</f>
        <v>0</v>
      </c>
      <c r="D23" s="27">
        <f>IF(C23="","",INDEX(tblEtudiants[Groupe],17)&amp;"")</f>
        <v>0</v>
      </c>
      <c r="E23" s="27">
        <f>IF(OR($C23="",E$5=""),"",COUNTIFS(tblPresences[Étudiant],$C23,tblPresences[Code matière],E$5,tblPresences[Statut],"A"))</f>
        <v>0</v>
      </c>
      <c r="F23" s="27">
        <f>IF(OR($C23="",F$5=""),"",COUNTIFS(tblPresences[Étudiant],$C23,tblPresences[Code matière],F$5,tblPresences[Statut],"A"))</f>
        <v>0</v>
      </c>
      <c r="G23" s="27">
        <f>IF(OR($C23="",G$5=""),"",COUNTIFS(tblPresences[Étudiant],$C23,tblPresences[Code matière],G$5,tblPresences[Statut],"A"))</f>
        <v>0</v>
      </c>
      <c r="H23" s="27">
        <f>IF(OR($C23="",H$5=""),"",COUNTIFS(tblPresences[Étudiant],$C23,tblPresences[Code matière],H$5,tblPresences[Statut],"A"))</f>
        <v>0</v>
      </c>
      <c r="I23" s="27">
        <f>IF(OR($C23="",I$5=""),"",COUNTIFS(tblPresences[Étudiant],$C23,tblPresences[Code matière],I$5,tblPresences[Statut],"A"))</f>
        <v>0</v>
      </c>
      <c r="J23" s="27">
        <f>IF(OR($C23="",J$5=""),"",COUNTIFS(tblPresences[Étudiant],$C23,tblPresences[Code matière],J$5,tblPresences[Statut],"A"))</f>
        <v>0</v>
      </c>
      <c r="K23" s="27">
        <f>IF(OR($C23="",K$5=""),"",COUNTIFS(tblPresences[Étudiant],$C23,tblPresences[Code matière],K$5,tblPresences[Statut],"A"))</f>
        <v>0</v>
      </c>
      <c r="L23" s="27">
        <f>IF(OR($C23="",L$5=""),"",COUNTIFS(tblPresences[Étudiant],$C23,tblPresences[Code matière],L$5,tblPresences[Statut],"A"))</f>
        <v>0</v>
      </c>
      <c r="M23" s="27">
        <f>IF(OR($C23="",M$5=""),"",COUNTIFS(tblPresences[Étudiant],$C23,tblPresences[Code matière],M$5,tblPresences[Statut],"A"))</f>
        <v>0</v>
      </c>
      <c r="N23" s="27">
        <f>IF(OR($C23="",N$5=""),"",COUNTIFS(tblPresences[Étudiant],$C23,tblPresences[Code matière],N$5,tblPresences[Statut],"A"))</f>
        <v>0</v>
      </c>
      <c r="O23" s="27">
        <f>IF(OR($C23="",O$5=""),"",COUNTIFS(tblPresences[Étudiant],$C23,tblPresences[Code matière],O$5,tblPresences[Statut],"A"))</f>
        <v>0</v>
      </c>
      <c r="P23" s="27">
        <f>IF(OR($C23="",P$5=""),"",COUNTIFS(tblPresences[Étudiant],$C23,tblPresences[Code matière],P$5,tblPresences[Statut],"A"))</f>
        <v>0</v>
      </c>
      <c r="Q23" s="28">
        <f>IF(C23="","",SUM(E23:P23))</f>
        <v>0</v>
      </c>
      <c r="R23" s="27">
        <f>IF(C23="","",COUNTIFS(tblPresences[Étudiant],C23,tblPresences[Statut],"R"))</f>
        <v>0</v>
      </c>
      <c r="S23" s="123">
        <f>IF(C23="","",IFERROR((COUNTIFS(tblPresences[Étudiant],C23,tblPresences[Statut],"P")+COUNTIFS(tblPresences[Étudiant],C23,tblPresences[Statut],"R"))/COUNTIF(tblPresences[Étudiant],C23),""))</f>
        <v>0</v>
      </c>
      <c r="T23" s="27">
        <f>IF(C23="","",MAX(E23:P23))</f>
        <v>0</v>
      </c>
      <c r="U23" s="146">
        <f>IF(C23="","",IF(T23&gt;pSeuil,"⚠ ALERTE",""))</f>
        <v>0</v>
      </c>
    </row>
    <row r="24" spans="2:21">
      <c r="B24" s="147">
        <f>IF(C24="","",18)</f>
        <v>0</v>
      </c>
      <c r="C24" s="32">
        <f>IFERROR(INDEX(tblEtudiants[Nom et prénoms],18)&amp;"","")</f>
        <v>0</v>
      </c>
      <c r="D24" s="30">
        <f>IF(C24="","",INDEX(tblEtudiants[Groupe],18)&amp;"")</f>
        <v>0</v>
      </c>
      <c r="E24" s="30">
        <f>IF(OR($C24="",E$5=""),"",COUNTIFS(tblPresences[Étudiant],$C24,tblPresences[Code matière],E$5,tblPresences[Statut],"A"))</f>
        <v>0</v>
      </c>
      <c r="F24" s="30">
        <f>IF(OR($C24="",F$5=""),"",COUNTIFS(tblPresences[Étudiant],$C24,tblPresences[Code matière],F$5,tblPresences[Statut],"A"))</f>
        <v>0</v>
      </c>
      <c r="G24" s="30">
        <f>IF(OR($C24="",G$5=""),"",COUNTIFS(tblPresences[Étudiant],$C24,tblPresences[Code matière],G$5,tblPresences[Statut],"A"))</f>
        <v>0</v>
      </c>
      <c r="H24" s="30">
        <f>IF(OR($C24="",H$5=""),"",COUNTIFS(tblPresences[Étudiant],$C24,tblPresences[Code matière],H$5,tblPresences[Statut],"A"))</f>
        <v>0</v>
      </c>
      <c r="I24" s="30">
        <f>IF(OR($C24="",I$5=""),"",COUNTIFS(tblPresences[Étudiant],$C24,tblPresences[Code matière],I$5,tblPresences[Statut],"A"))</f>
        <v>0</v>
      </c>
      <c r="J24" s="30">
        <f>IF(OR($C24="",J$5=""),"",COUNTIFS(tblPresences[Étudiant],$C24,tblPresences[Code matière],J$5,tblPresences[Statut],"A"))</f>
        <v>0</v>
      </c>
      <c r="K24" s="30">
        <f>IF(OR($C24="",K$5=""),"",COUNTIFS(tblPresences[Étudiant],$C24,tblPresences[Code matière],K$5,tblPresences[Statut],"A"))</f>
        <v>0</v>
      </c>
      <c r="L24" s="30">
        <f>IF(OR($C24="",L$5=""),"",COUNTIFS(tblPresences[Étudiant],$C24,tblPresences[Code matière],L$5,tblPresences[Statut],"A"))</f>
        <v>0</v>
      </c>
      <c r="M24" s="30">
        <f>IF(OR($C24="",M$5=""),"",COUNTIFS(tblPresences[Étudiant],$C24,tblPresences[Code matière],M$5,tblPresences[Statut],"A"))</f>
        <v>0</v>
      </c>
      <c r="N24" s="30">
        <f>IF(OR($C24="",N$5=""),"",COUNTIFS(tblPresences[Étudiant],$C24,tblPresences[Code matière],N$5,tblPresences[Statut],"A"))</f>
        <v>0</v>
      </c>
      <c r="O24" s="30">
        <f>IF(OR($C24="",O$5=""),"",COUNTIFS(tblPresences[Étudiant],$C24,tblPresences[Code matière],O$5,tblPresences[Statut],"A"))</f>
        <v>0</v>
      </c>
      <c r="P24" s="30">
        <f>IF(OR($C24="",P$5=""),"",COUNTIFS(tblPresences[Étudiant],$C24,tblPresences[Code matière],P$5,tblPresences[Statut],"A"))</f>
        <v>0</v>
      </c>
      <c r="Q24" s="31">
        <f>IF(C24="","",SUM(E24:P24))</f>
        <v>0</v>
      </c>
      <c r="R24" s="30">
        <f>IF(C24="","",COUNTIFS(tblPresences[Étudiant],C24,tblPresences[Statut],"R"))</f>
        <v>0</v>
      </c>
      <c r="S24" s="124">
        <f>IF(C24="","",IFERROR((COUNTIFS(tblPresences[Étudiant],C24,tblPresences[Statut],"P")+COUNTIFS(tblPresences[Étudiant],C24,tblPresences[Statut],"R"))/COUNTIF(tblPresences[Étudiant],C24),""))</f>
        <v>0</v>
      </c>
      <c r="T24" s="30">
        <f>IF(C24="","",MAX(E24:P24))</f>
        <v>0</v>
      </c>
      <c r="U24" s="148">
        <f>IF(C24="","",IF(T24&gt;pSeuil,"⚠ ALERTE",""))</f>
        <v>0</v>
      </c>
    </row>
    <row r="25" spans="2:21">
      <c r="B25" s="145">
        <f>IF(C25="","",19)</f>
        <v>0</v>
      </c>
      <c r="C25" s="29">
        <f>IFERROR(INDEX(tblEtudiants[Nom et prénoms],19)&amp;"","")</f>
        <v>0</v>
      </c>
      <c r="D25" s="27">
        <f>IF(C25="","",INDEX(tblEtudiants[Groupe],19)&amp;"")</f>
        <v>0</v>
      </c>
      <c r="E25" s="27">
        <f>IF(OR($C25="",E$5=""),"",COUNTIFS(tblPresences[Étudiant],$C25,tblPresences[Code matière],E$5,tblPresences[Statut],"A"))</f>
        <v>0</v>
      </c>
      <c r="F25" s="27">
        <f>IF(OR($C25="",F$5=""),"",COUNTIFS(tblPresences[Étudiant],$C25,tblPresences[Code matière],F$5,tblPresences[Statut],"A"))</f>
        <v>0</v>
      </c>
      <c r="G25" s="27">
        <f>IF(OR($C25="",G$5=""),"",COUNTIFS(tblPresences[Étudiant],$C25,tblPresences[Code matière],G$5,tblPresences[Statut],"A"))</f>
        <v>0</v>
      </c>
      <c r="H25" s="27">
        <f>IF(OR($C25="",H$5=""),"",COUNTIFS(tblPresences[Étudiant],$C25,tblPresences[Code matière],H$5,tblPresences[Statut],"A"))</f>
        <v>0</v>
      </c>
      <c r="I25" s="27">
        <f>IF(OR($C25="",I$5=""),"",COUNTIFS(tblPresences[Étudiant],$C25,tblPresences[Code matière],I$5,tblPresences[Statut],"A"))</f>
        <v>0</v>
      </c>
      <c r="J25" s="27">
        <f>IF(OR($C25="",J$5=""),"",COUNTIFS(tblPresences[Étudiant],$C25,tblPresences[Code matière],J$5,tblPresences[Statut],"A"))</f>
        <v>0</v>
      </c>
      <c r="K25" s="27">
        <f>IF(OR($C25="",K$5=""),"",COUNTIFS(tblPresences[Étudiant],$C25,tblPresences[Code matière],K$5,tblPresences[Statut],"A"))</f>
        <v>0</v>
      </c>
      <c r="L25" s="27">
        <f>IF(OR($C25="",L$5=""),"",COUNTIFS(tblPresences[Étudiant],$C25,tblPresences[Code matière],L$5,tblPresences[Statut],"A"))</f>
        <v>0</v>
      </c>
      <c r="M25" s="27">
        <f>IF(OR($C25="",M$5=""),"",COUNTIFS(tblPresences[Étudiant],$C25,tblPresences[Code matière],M$5,tblPresences[Statut],"A"))</f>
        <v>0</v>
      </c>
      <c r="N25" s="27">
        <f>IF(OR($C25="",N$5=""),"",COUNTIFS(tblPresences[Étudiant],$C25,tblPresences[Code matière],N$5,tblPresences[Statut],"A"))</f>
        <v>0</v>
      </c>
      <c r="O25" s="27">
        <f>IF(OR($C25="",O$5=""),"",COUNTIFS(tblPresences[Étudiant],$C25,tblPresences[Code matière],O$5,tblPresences[Statut],"A"))</f>
        <v>0</v>
      </c>
      <c r="P25" s="27">
        <f>IF(OR($C25="",P$5=""),"",COUNTIFS(tblPresences[Étudiant],$C25,tblPresences[Code matière],P$5,tblPresences[Statut],"A"))</f>
        <v>0</v>
      </c>
      <c r="Q25" s="28">
        <f>IF(C25="","",SUM(E25:P25))</f>
        <v>0</v>
      </c>
      <c r="R25" s="27">
        <f>IF(C25="","",COUNTIFS(tblPresences[Étudiant],C25,tblPresences[Statut],"R"))</f>
        <v>0</v>
      </c>
      <c r="S25" s="123">
        <f>IF(C25="","",IFERROR((COUNTIFS(tblPresences[Étudiant],C25,tblPresences[Statut],"P")+COUNTIFS(tblPresences[Étudiant],C25,tblPresences[Statut],"R"))/COUNTIF(tblPresences[Étudiant],C25),""))</f>
        <v>0</v>
      </c>
      <c r="T25" s="27">
        <f>IF(C25="","",MAX(E25:P25))</f>
        <v>0</v>
      </c>
      <c r="U25" s="146">
        <f>IF(C25="","",IF(T25&gt;pSeuil,"⚠ ALERTE",""))</f>
        <v>0</v>
      </c>
    </row>
    <row r="26" spans="2:21">
      <c r="B26" s="147">
        <f>IF(C26="","",20)</f>
        <v>0</v>
      </c>
      <c r="C26" s="32">
        <f>IFERROR(INDEX(tblEtudiants[Nom et prénoms],20)&amp;"","")</f>
        <v>0</v>
      </c>
      <c r="D26" s="30">
        <f>IF(C26="","",INDEX(tblEtudiants[Groupe],20)&amp;"")</f>
        <v>0</v>
      </c>
      <c r="E26" s="30">
        <f>IF(OR($C26="",E$5=""),"",COUNTIFS(tblPresences[Étudiant],$C26,tblPresences[Code matière],E$5,tblPresences[Statut],"A"))</f>
        <v>0</v>
      </c>
      <c r="F26" s="30">
        <f>IF(OR($C26="",F$5=""),"",COUNTIFS(tblPresences[Étudiant],$C26,tblPresences[Code matière],F$5,tblPresences[Statut],"A"))</f>
        <v>0</v>
      </c>
      <c r="G26" s="30">
        <f>IF(OR($C26="",G$5=""),"",COUNTIFS(tblPresences[Étudiant],$C26,tblPresences[Code matière],G$5,tblPresences[Statut],"A"))</f>
        <v>0</v>
      </c>
      <c r="H26" s="30">
        <f>IF(OR($C26="",H$5=""),"",COUNTIFS(tblPresences[Étudiant],$C26,tblPresences[Code matière],H$5,tblPresences[Statut],"A"))</f>
        <v>0</v>
      </c>
      <c r="I26" s="30">
        <f>IF(OR($C26="",I$5=""),"",COUNTIFS(tblPresences[Étudiant],$C26,tblPresences[Code matière],I$5,tblPresences[Statut],"A"))</f>
        <v>0</v>
      </c>
      <c r="J26" s="30">
        <f>IF(OR($C26="",J$5=""),"",COUNTIFS(tblPresences[Étudiant],$C26,tblPresences[Code matière],J$5,tblPresences[Statut],"A"))</f>
        <v>0</v>
      </c>
      <c r="K26" s="30">
        <f>IF(OR($C26="",K$5=""),"",COUNTIFS(tblPresences[Étudiant],$C26,tblPresences[Code matière],K$5,tblPresences[Statut],"A"))</f>
        <v>0</v>
      </c>
      <c r="L26" s="30">
        <f>IF(OR($C26="",L$5=""),"",COUNTIFS(tblPresences[Étudiant],$C26,tblPresences[Code matière],L$5,tblPresences[Statut],"A"))</f>
        <v>0</v>
      </c>
      <c r="M26" s="30">
        <f>IF(OR($C26="",M$5=""),"",COUNTIFS(tblPresences[Étudiant],$C26,tblPresences[Code matière],M$5,tblPresences[Statut],"A"))</f>
        <v>0</v>
      </c>
      <c r="N26" s="30">
        <f>IF(OR($C26="",N$5=""),"",COUNTIFS(tblPresences[Étudiant],$C26,tblPresences[Code matière],N$5,tblPresences[Statut],"A"))</f>
        <v>0</v>
      </c>
      <c r="O26" s="30">
        <f>IF(OR($C26="",O$5=""),"",COUNTIFS(tblPresences[Étudiant],$C26,tblPresences[Code matière],O$5,tblPresences[Statut],"A"))</f>
        <v>0</v>
      </c>
      <c r="P26" s="30">
        <f>IF(OR($C26="",P$5=""),"",COUNTIFS(tblPresences[Étudiant],$C26,tblPresences[Code matière],P$5,tblPresences[Statut],"A"))</f>
        <v>0</v>
      </c>
      <c r="Q26" s="31">
        <f>IF(C26="","",SUM(E26:P26))</f>
        <v>0</v>
      </c>
      <c r="R26" s="30">
        <f>IF(C26="","",COUNTIFS(tblPresences[Étudiant],C26,tblPresences[Statut],"R"))</f>
        <v>0</v>
      </c>
      <c r="S26" s="124">
        <f>IF(C26="","",IFERROR((COUNTIFS(tblPresences[Étudiant],C26,tblPresences[Statut],"P")+COUNTIFS(tblPresences[Étudiant],C26,tblPresences[Statut],"R"))/COUNTIF(tblPresences[Étudiant],C26),""))</f>
        <v>0</v>
      </c>
      <c r="T26" s="30">
        <f>IF(C26="","",MAX(E26:P26))</f>
        <v>0</v>
      </c>
      <c r="U26" s="148">
        <f>IF(C26="","",IF(T26&gt;pSeuil,"⚠ ALERTE",""))</f>
        <v>0</v>
      </c>
    </row>
    <row r="27" spans="2:21">
      <c r="B27" s="145">
        <f>IF(C27="","",21)</f>
        <v>0</v>
      </c>
      <c r="C27" s="29">
        <f>IFERROR(INDEX(tblEtudiants[Nom et prénoms],21)&amp;"","")</f>
        <v>0</v>
      </c>
      <c r="D27" s="27">
        <f>IF(C27="","",INDEX(tblEtudiants[Groupe],21)&amp;"")</f>
        <v>0</v>
      </c>
      <c r="E27" s="27">
        <f>IF(OR($C27="",E$5=""),"",COUNTIFS(tblPresences[Étudiant],$C27,tblPresences[Code matière],E$5,tblPresences[Statut],"A"))</f>
        <v>0</v>
      </c>
      <c r="F27" s="27">
        <f>IF(OR($C27="",F$5=""),"",COUNTIFS(tblPresences[Étudiant],$C27,tblPresences[Code matière],F$5,tblPresences[Statut],"A"))</f>
        <v>0</v>
      </c>
      <c r="G27" s="27">
        <f>IF(OR($C27="",G$5=""),"",COUNTIFS(tblPresences[Étudiant],$C27,tblPresences[Code matière],G$5,tblPresences[Statut],"A"))</f>
        <v>0</v>
      </c>
      <c r="H27" s="27">
        <f>IF(OR($C27="",H$5=""),"",COUNTIFS(tblPresences[Étudiant],$C27,tblPresences[Code matière],H$5,tblPresences[Statut],"A"))</f>
        <v>0</v>
      </c>
      <c r="I27" s="27">
        <f>IF(OR($C27="",I$5=""),"",COUNTIFS(tblPresences[Étudiant],$C27,tblPresences[Code matière],I$5,tblPresences[Statut],"A"))</f>
        <v>0</v>
      </c>
      <c r="J27" s="27">
        <f>IF(OR($C27="",J$5=""),"",COUNTIFS(tblPresences[Étudiant],$C27,tblPresences[Code matière],J$5,tblPresences[Statut],"A"))</f>
        <v>0</v>
      </c>
      <c r="K27" s="27">
        <f>IF(OR($C27="",K$5=""),"",COUNTIFS(tblPresences[Étudiant],$C27,tblPresences[Code matière],K$5,tblPresences[Statut],"A"))</f>
        <v>0</v>
      </c>
      <c r="L27" s="27">
        <f>IF(OR($C27="",L$5=""),"",COUNTIFS(tblPresences[Étudiant],$C27,tblPresences[Code matière],L$5,tblPresences[Statut],"A"))</f>
        <v>0</v>
      </c>
      <c r="M27" s="27">
        <f>IF(OR($C27="",M$5=""),"",COUNTIFS(tblPresences[Étudiant],$C27,tblPresences[Code matière],M$5,tblPresences[Statut],"A"))</f>
        <v>0</v>
      </c>
      <c r="N27" s="27">
        <f>IF(OR($C27="",N$5=""),"",COUNTIFS(tblPresences[Étudiant],$C27,tblPresences[Code matière],N$5,tblPresences[Statut],"A"))</f>
        <v>0</v>
      </c>
      <c r="O27" s="27">
        <f>IF(OR($C27="",O$5=""),"",COUNTIFS(tblPresences[Étudiant],$C27,tblPresences[Code matière],O$5,tblPresences[Statut],"A"))</f>
        <v>0</v>
      </c>
      <c r="P27" s="27">
        <f>IF(OR($C27="",P$5=""),"",COUNTIFS(tblPresences[Étudiant],$C27,tblPresences[Code matière],P$5,tblPresences[Statut],"A"))</f>
        <v>0</v>
      </c>
      <c r="Q27" s="28">
        <f>IF(C27="","",SUM(E27:P27))</f>
        <v>0</v>
      </c>
      <c r="R27" s="27">
        <f>IF(C27="","",COUNTIFS(tblPresences[Étudiant],C27,tblPresences[Statut],"R"))</f>
        <v>0</v>
      </c>
      <c r="S27" s="123">
        <f>IF(C27="","",IFERROR((COUNTIFS(tblPresences[Étudiant],C27,tblPresences[Statut],"P")+COUNTIFS(tblPresences[Étudiant],C27,tblPresences[Statut],"R"))/COUNTIF(tblPresences[Étudiant],C27),""))</f>
        <v>0</v>
      </c>
      <c r="T27" s="27">
        <f>IF(C27="","",MAX(E27:P27))</f>
        <v>0</v>
      </c>
      <c r="U27" s="146">
        <f>IF(C27="","",IF(T27&gt;pSeuil,"⚠ ALERTE",""))</f>
        <v>0</v>
      </c>
    </row>
    <row r="28" spans="2:21">
      <c r="B28" s="147">
        <f>IF(C28="","",22)</f>
        <v>0</v>
      </c>
      <c r="C28" s="32">
        <f>IFERROR(INDEX(tblEtudiants[Nom et prénoms],22)&amp;"","")</f>
        <v>0</v>
      </c>
      <c r="D28" s="30">
        <f>IF(C28="","",INDEX(tblEtudiants[Groupe],22)&amp;"")</f>
        <v>0</v>
      </c>
      <c r="E28" s="30">
        <f>IF(OR($C28="",E$5=""),"",COUNTIFS(tblPresences[Étudiant],$C28,tblPresences[Code matière],E$5,tblPresences[Statut],"A"))</f>
        <v>0</v>
      </c>
      <c r="F28" s="30">
        <f>IF(OR($C28="",F$5=""),"",COUNTIFS(tblPresences[Étudiant],$C28,tblPresences[Code matière],F$5,tblPresences[Statut],"A"))</f>
        <v>0</v>
      </c>
      <c r="G28" s="30">
        <f>IF(OR($C28="",G$5=""),"",COUNTIFS(tblPresences[Étudiant],$C28,tblPresences[Code matière],G$5,tblPresences[Statut],"A"))</f>
        <v>0</v>
      </c>
      <c r="H28" s="30">
        <f>IF(OR($C28="",H$5=""),"",COUNTIFS(tblPresences[Étudiant],$C28,tblPresences[Code matière],H$5,tblPresences[Statut],"A"))</f>
        <v>0</v>
      </c>
      <c r="I28" s="30">
        <f>IF(OR($C28="",I$5=""),"",COUNTIFS(tblPresences[Étudiant],$C28,tblPresences[Code matière],I$5,tblPresences[Statut],"A"))</f>
        <v>0</v>
      </c>
      <c r="J28" s="30">
        <f>IF(OR($C28="",J$5=""),"",COUNTIFS(tblPresences[Étudiant],$C28,tblPresences[Code matière],J$5,tblPresences[Statut],"A"))</f>
        <v>0</v>
      </c>
      <c r="K28" s="30">
        <f>IF(OR($C28="",K$5=""),"",COUNTIFS(tblPresences[Étudiant],$C28,tblPresences[Code matière],K$5,tblPresences[Statut],"A"))</f>
        <v>0</v>
      </c>
      <c r="L28" s="30">
        <f>IF(OR($C28="",L$5=""),"",COUNTIFS(tblPresences[Étudiant],$C28,tblPresences[Code matière],L$5,tblPresences[Statut],"A"))</f>
        <v>0</v>
      </c>
      <c r="M28" s="30">
        <f>IF(OR($C28="",M$5=""),"",COUNTIFS(tblPresences[Étudiant],$C28,tblPresences[Code matière],M$5,tblPresences[Statut],"A"))</f>
        <v>0</v>
      </c>
      <c r="N28" s="30">
        <f>IF(OR($C28="",N$5=""),"",COUNTIFS(tblPresences[Étudiant],$C28,tblPresences[Code matière],N$5,tblPresences[Statut],"A"))</f>
        <v>0</v>
      </c>
      <c r="O28" s="30">
        <f>IF(OR($C28="",O$5=""),"",COUNTIFS(tblPresences[Étudiant],$C28,tblPresences[Code matière],O$5,tblPresences[Statut],"A"))</f>
        <v>0</v>
      </c>
      <c r="P28" s="30">
        <f>IF(OR($C28="",P$5=""),"",COUNTIFS(tblPresences[Étudiant],$C28,tblPresences[Code matière],P$5,tblPresences[Statut],"A"))</f>
        <v>0</v>
      </c>
      <c r="Q28" s="31">
        <f>IF(C28="","",SUM(E28:P28))</f>
        <v>0</v>
      </c>
      <c r="R28" s="30">
        <f>IF(C28="","",COUNTIFS(tblPresences[Étudiant],C28,tblPresences[Statut],"R"))</f>
        <v>0</v>
      </c>
      <c r="S28" s="124">
        <f>IF(C28="","",IFERROR((COUNTIFS(tblPresences[Étudiant],C28,tblPresences[Statut],"P")+COUNTIFS(tblPresences[Étudiant],C28,tblPresences[Statut],"R"))/COUNTIF(tblPresences[Étudiant],C28),""))</f>
        <v>0</v>
      </c>
      <c r="T28" s="30">
        <f>IF(C28="","",MAX(E28:P28))</f>
        <v>0</v>
      </c>
      <c r="U28" s="148">
        <f>IF(C28="","",IF(T28&gt;pSeuil,"⚠ ALERTE",""))</f>
        <v>0</v>
      </c>
    </row>
    <row r="29" spans="2:21">
      <c r="B29" s="145">
        <f>IF(C29="","",23)</f>
        <v>0</v>
      </c>
      <c r="C29" s="29">
        <f>IFERROR(INDEX(tblEtudiants[Nom et prénoms],23)&amp;"","")</f>
        <v>0</v>
      </c>
      <c r="D29" s="27">
        <f>IF(C29="","",INDEX(tblEtudiants[Groupe],23)&amp;"")</f>
        <v>0</v>
      </c>
      <c r="E29" s="27">
        <f>IF(OR($C29="",E$5=""),"",COUNTIFS(tblPresences[Étudiant],$C29,tblPresences[Code matière],E$5,tblPresences[Statut],"A"))</f>
        <v>0</v>
      </c>
      <c r="F29" s="27">
        <f>IF(OR($C29="",F$5=""),"",COUNTIFS(tblPresences[Étudiant],$C29,tblPresences[Code matière],F$5,tblPresences[Statut],"A"))</f>
        <v>0</v>
      </c>
      <c r="G29" s="27">
        <f>IF(OR($C29="",G$5=""),"",COUNTIFS(tblPresences[Étudiant],$C29,tblPresences[Code matière],G$5,tblPresences[Statut],"A"))</f>
        <v>0</v>
      </c>
      <c r="H29" s="27">
        <f>IF(OR($C29="",H$5=""),"",COUNTIFS(tblPresences[Étudiant],$C29,tblPresences[Code matière],H$5,tblPresences[Statut],"A"))</f>
        <v>0</v>
      </c>
      <c r="I29" s="27">
        <f>IF(OR($C29="",I$5=""),"",COUNTIFS(tblPresences[Étudiant],$C29,tblPresences[Code matière],I$5,tblPresences[Statut],"A"))</f>
        <v>0</v>
      </c>
      <c r="J29" s="27">
        <f>IF(OR($C29="",J$5=""),"",COUNTIFS(tblPresences[Étudiant],$C29,tblPresences[Code matière],J$5,tblPresences[Statut],"A"))</f>
        <v>0</v>
      </c>
      <c r="K29" s="27">
        <f>IF(OR($C29="",K$5=""),"",COUNTIFS(tblPresences[Étudiant],$C29,tblPresences[Code matière],K$5,tblPresences[Statut],"A"))</f>
        <v>0</v>
      </c>
      <c r="L29" s="27">
        <f>IF(OR($C29="",L$5=""),"",COUNTIFS(tblPresences[Étudiant],$C29,tblPresences[Code matière],L$5,tblPresences[Statut],"A"))</f>
        <v>0</v>
      </c>
      <c r="M29" s="27">
        <f>IF(OR($C29="",M$5=""),"",COUNTIFS(tblPresences[Étudiant],$C29,tblPresences[Code matière],M$5,tblPresences[Statut],"A"))</f>
        <v>0</v>
      </c>
      <c r="N29" s="27">
        <f>IF(OR($C29="",N$5=""),"",COUNTIFS(tblPresences[Étudiant],$C29,tblPresences[Code matière],N$5,tblPresences[Statut],"A"))</f>
        <v>0</v>
      </c>
      <c r="O29" s="27">
        <f>IF(OR($C29="",O$5=""),"",COUNTIFS(tblPresences[Étudiant],$C29,tblPresences[Code matière],O$5,tblPresences[Statut],"A"))</f>
        <v>0</v>
      </c>
      <c r="P29" s="27">
        <f>IF(OR($C29="",P$5=""),"",COUNTIFS(tblPresences[Étudiant],$C29,tblPresences[Code matière],P$5,tblPresences[Statut],"A"))</f>
        <v>0</v>
      </c>
      <c r="Q29" s="28">
        <f>IF(C29="","",SUM(E29:P29))</f>
        <v>0</v>
      </c>
      <c r="R29" s="27">
        <f>IF(C29="","",COUNTIFS(tblPresences[Étudiant],C29,tblPresences[Statut],"R"))</f>
        <v>0</v>
      </c>
      <c r="S29" s="123">
        <f>IF(C29="","",IFERROR((COUNTIFS(tblPresences[Étudiant],C29,tblPresences[Statut],"P")+COUNTIFS(tblPresences[Étudiant],C29,tblPresences[Statut],"R"))/COUNTIF(tblPresences[Étudiant],C29),""))</f>
        <v>0</v>
      </c>
      <c r="T29" s="27">
        <f>IF(C29="","",MAX(E29:P29))</f>
        <v>0</v>
      </c>
      <c r="U29" s="146">
        <f>IF(C29="","",IF(T29&gt;pSeuil,"⚠ ALERTE",""))</f>
        <v>0</v>
      </c>
    </row>
    <row r="30" spans="2:21">
      <c r="B30" s="147">
        <f>IF(C30="","",24)</f>
        <v>0</v>
      </c>
      <c r="C30" s="32">
        <f>IFERROR(INDEX(tblEtudiants[Nom et prénoms],24)&amp;"","")</f>
        <v>0</v>
      </c>
      <c r="D30" s="30">
        <f>IF(C30="","",INDEX(tblEtudiants[Groupe],24)&amp;"")</f>
        <v>0</v>
      </c>
      <c r="E30" s="30">
        <f>IF(OR($C30="",E$5=""),"",COUNTIFS(tblPresences[Étudiant],$C30,tblPresences[Code matière],E$5,tblPresences[Statut],"A"))</f>
        <v>0</v>
      </c>
      <c r="F30" s="30">
        <f>IF(OR($C30="",F$5=""),"",COUNTIFS(tblPresences[Étudiant],$C30,tblPresences[Code matière],F$5,tblPresences[Statut],"A"))</f>
        <v>0</v>
      </c>
      <c r="G30" s="30">
        <f>IF(OR($C30="",G$5=""),"",COUNTIFS(tblPresences[Étudiant],$C30,tblPresences[Code matière],G$5,tblPresences[Statut],"A"))</f>
        <v>0</v>
      </c>
      <c r="H30" s="30">
        <f>IF(OR($C30="",H$5=""),"",COUNTIFS(tblPresences[Étudiant],$C30,tblPresences[Code matière],H$5,tblPresences[Statut],"A"))</f>
        <v>0</v>
      </c>
      <c r="I30" s="30">
        <f>IF(OR($C30="",I$5=""),"",COUNTIFS(tblPresences[Étudiant],$C30,tblPresences[Code matière],I$5,tblPresences[Statut],"A"))</f>
        <v>0</v>
      </c>
      <c r="J30" s="30">
        <f>IF(OR($C30="",J$5=""),"",COUNTIFS(tblPresences[Étudiant],$C30,tblPresences[Code matière],J$5,tblPresences[Statut],"A"))</f>
        <v>0</v>
      </c>
      <c r="K30" s="30">
        <f>IF(OR($C30="",K$5=""),"",COUNTIFS(tblPresences[Étudiant],$C30,tblPresences[Code matière],K$5,tblPresences[Statut],"A"))</f>
        <v>0</v>
      </c>
      <c r="L30" s="30">
        <f>IF(OR($C30="",L$5=""),"",COUNTIFS(tblPresences[Étudiant],$C30,tblPresences[Code matière],L$5,tblPresences[Statut],"A"))</f>
        <v>0</v>
      </c>
      <c r="M30" s="30">
        <f>IF(OR($C30="",M$5=""),"",COUNTIFS(tblPresences[Étudiant],$C30,tblPresences[Code matière],M$5,tblPresences[Statut],"A"))</f>
        <v>0</v>
      </c>
      <c r="N30" s="30">
        <f>IF(OR($C30="",N$5=""),"",COUNTIFS(tblPresences[Étudiant],$C30,tblPresences[Code matière],N$5,tblPresences[Statut],"A"))</f>
        <v>0</v>
      </c>
      <c r="O30" s="30">
        <f>IF(OR($C30="",O$5=""),"",COUNTIFS(tblPresences[Étudiant],$C30,tblPresences[Code matière],O$5,tblPresences[Statut],"A"))</f>
        <v>0</v>
      </c>
      <c r="P30" s="30">
        <f>IF(OR($C30="",P$5=""),"",COUNTIFS(tblPresences[Étudiant],$C30,tblPresences[Code matière],P$5,tblPresences[Statut],"A"))</f>
        <v>0</v>
      </c>
      <c r="Q30" s="31">
        <f>IF(C30="","",SUM(E30:P30))</f>
        <v>0</v>
      </c>
      <c r="R30" s="30">
        <f>IF(C30="","",COUNTIFS(tblPresences[Étudiant],C30,tblPresences[Statut],"R"))</f>
        <v>0</v>
      </c>
      <c r="S30" s="124">
        <f>IF(C30="","",IFERROR((COUNTIFS(tblPresences[Étudiant],C30,tblPresences[Statut],"P")+COUNTIFS(tblPresences[Étudiant],C30,tblPresences[Statut],"R"))/COUNTIF(tblPresences[Étudiant],C30),""))</f>
        <v>0</v>
      </c>
      <c r="T30" s="30">
        <f>IF(C30="","",MAX(E30:P30))</f>
        <v>0</v>
      </c>
      <c r="U30" s="148">
        <f>IF(C30="","",IF(T30&gt;pSeuil,"⚠ ALERTE",""))</f>
        <v>0</v>
      </c>
    </row>
    <row r="31" spans="2:21">
      <c r="B31" s="145">
        <f>IF(C31="","",25)</f>
        <v>0</v>
      </c>
      <c r="C31" s="29">
        <f>IFERROR(INDEX(tblEtudiants[Nom et prénoms],25)&amp;"","")</f>
        <v>0</v>
      </c>
      <c r="D31" s="27">
        <f>IF(C31="","",INDEX(tblEtudiants[Groupe],25)&amp;"")</f>
        <v>0</v>
      </c>
      <c r="E31" s="27">
        <f>IF(OR($C31="",E$5=""),"",COUNTIFS(tblPresences[Étudiant],$C31,tblPresences[Code matière],E$5,tblPresences[Statut],"A"))</f>
        <v>0</v>
      </c>
      <c r="F31" s="27">
        <f>IF(OR($C31="",F$5=""),"",COUNTIFS(tblPresences[Étudiant],$C31,tblPresences[Code matière],F$5,tblPresences[Statut],"A"))</f>
        <v>0</v>
      </c>
      <c r="G31" s="27">
        <f>IF(OR($C31="",G$5=""),"",COUNTIFS(tblPresences[Étudiant],$C31,tblPresences[Code matière],G$5,tblPresences[Statut],"A"))</f>
        <v>0</v>
      </c>
      <c r="H31" s="27">
        <f>IF(OR($C31="",H$5=""),"",COUNTIFS(tblPresences[Étudiant],$C31,tblPresences[Code matière],H$5,tblPresences[Statut],"A"))</f>
        <v>0</v>
      </c>
      <c r="I31" s="27">
        <f>IF(OR($C31="",I$5=""),"",COUNTIFS(tblPresences[Étudiant],$C31,tblPresences[Code matière],I$5,tblPresences[Statut],"A"))</f>
        <v>0</v>
      </c>
      <c r="J31" s="27">
        <f>IF(OR($C31="",J$5=""),"",COUNTIFS(tblPresences[Étudiant],$C31,tblPresences[Code matière],J$5,tblPresences[Statut],"A"))</f>
        <v>0</v>
      </c>
      <c r="K31" s="27">
        <f>IF(OR($C31="",K$5=""),"",COUNTIFS(tblPresences[Étudiant],$C31,tblPresences[Code matière],K$5,tblPresences[Statut],"A"))</f>
        <v>0</v>
      </c>
      <c r="L31" s="27">
        <f>IF(OR($C31="",L$5=""),"",COUNTIFS(tblPresences[Étudiant],$C31,tblPresences[Code matière],L$5,tblPresences[Statut],"A"))</f>
        <v>0</v>
      </c>
      <c r="M31" s="27">
        <f>IF(OR($C31="",M$5=""),"",COUNTIFS(tblPresences[Étudiant],$C31,tblPresences[Code matière],M$5,tblPresences[Statut],"A"))</f>
        <v>0</v>
      </c>
      <c r="N31" s="27">
        <f>IF(OR($C31="",N$5=""),"",COUNTIFS(tblPresences[Étudiant],$C31,tblPresences[Code matière],N$5,tblPresences[Statut],"A"))</f>
        <v>0</v>
      </c>
      <c r="O31" s="27">
        <f>IF(OR($C31="",O$5=""),"",COUNTIFS(tblPresences[Étudiant],$C31,tblPresences[Code matière],O$5,tblPresences[Statut],"A"))</f>
        <v>0</v>
      </c>
      <c r="P31" s="27">
        <f>IF(OR($C31="",P$5=""),"",COUNTIFS(tblPresences[Étudiant],$C31,tblPresences[Code matière],P$5,tblPresences[Statut],"A"))</f>
        <v>0</v>
      </c>
      <c r="Q31" s="28">
        <f>IF(C31="","",SUM(E31:P31))</f>
        <v>0</v>
      </c>
      <c r="R31" s="27">
        <f>IF(C31="","",COUNTIFS(tblPresences[Étudiant],C31,tblPresences[Statut],"R"))</f>
        <v>0</v>
      </c>
      <c r="S31" s="123">
        <f>IF(C31="","",IFERROR((COUNTIFS(tblPresences[Étudiant],C31,tblPresences[Statut],"P")+COUNTIFS(tblPresences[Étudiant],C31,tblPresences[Statut],"R"))/COUNTIF(tblPresences[Étudiant],C31),""))</f>
        <v>0</v>
      </c>
      <c r="T31" s="27">
        <f>IF(C31="","",MAX(E31:P31))</f>
        <v>0</v>
      </c>
      <c r="U31" s="146">
        <f>IF(C31="","",IF(T31&gt;pSeuil,"⚠ ALERTE",""))</f>
        <v>0</v>
      </c>
    </row>
    <row r="32" spans="2:21">
      <c r="B32" s="147">
        <f>IF(C32="","",26)</f>
        <v>0</v>
      </c>
      <c r="C32" s="32">
        <f>IFERROR(INDEX(tblEtudiants[Nom et prénoms],26)&amp;"","")</f>
        <v>0</v>
      </c>
      <c r="D32" s="30">
        <f>IF(C32="","",INDEX(tblEtudiants[Groupe],26)&amp;"")</f>
        <v>0</v>
      </c>
      <c r="E32" s="30">
        <f>IF(OR($C32="",E$5=""),"",COUNTIFS(tblPresences[Étudiant],$C32,tblPresences[Code matière],E$5,tblPresences[Statut],"A"))</f>
        <v>0</v>
      </c>
      <c r="F32" s="30">
        <f>IF(OR($C32="",F$5=""),"",COUNTIFS(tblPresences[Étudiant],$C32,tblPresences[Code matière],F$5,tblPresences[Statut],"A"))</f>
        <v>0</v>
      </c>
      <c r="G32" s="30">
        <f>IF(OR($C32="",G$5=""),"",COUNTIFS(tblPresences[Étudiant],$C32,tblPresences[Code matière],G$5,tblPresences[Statut],"A"))</f>
        <v>0</v>
      </c>
      <c r="H32" s="30">
        <f>IF(OR($C32="",H$5=""),"",COUNTIFS(tblPresences[Étudiant],$C32,tblPresences[Code matière],H$5,tblPresences[Statut],"A"))</f>
        <v>0</v>
      </c>
      <c r="I32" s="30">
        <f>IF(OR($C32="",I$5=""),"",COUNTIFS(tblPresences[Étudiant],$C32,tblPresences[Code matière],I$5,tblPresences[Statut],"A"))</f>
        <v>0</v>
      </c>
      <c r="J32" s="30">
        <f>IF(OR($C32="",J$5=""),"",COUNTIFS(tblPresences[Étudiant],$C32,tblPresences[Code matière],J$5,tblPresences[Statut],"A"))</f>
        <v>0</v>
      </c>
      <c r="K32" s="30">
        <f>IF(OR($C32="",K$5=""),"",COUNTIFS(tblPresences[Étudiant],$C32,tblPresences[Code matière],K$5,tblPresences[Statut],"A"))</f>
        <v>0</v>
      </c>
      <c r="L32" s="30">
        <f>IF(OR($C32="",L$5=""),"",COUNTIFS(tblPresences[Étudiant],$C32,tblPresences[Code matière],L$5,tblPresences[Statut],"A"))</f>
        <v>0</v>
      </c>
      <c r="M32" s="30">
        <f>IF(OR($C32="",M$5=""),"",COUNTIFS(tblPresences[Étudiant],$C32,tblPresences[Code matière],M$5,tblPresences[Statut],"A"))</f>
        <v>0</v>
      </c>
      <c r="N32" s="30">
        <f>IF(OR($C32="",N$5=""),"",COUNTIFS(tblPresences[Étudiant],$C32,tblPresences[Code matière],N$5,tblPresences[Statut],"A"))</f>
        <v>0</v>
      </c>
      <c r="O32" s="30">
        <f>IF(OR($C32="",O$5=""),"",COUNTIFS(tblPresences[Étudiant],$C32,tblPresences[Code matière],O$5,tblPresences[Statut],"A"))</f>
        <v>0</v>
      </c>
      <c r="P32" s="30">
        <f>IF(OR($C32="",P$5=""),"",COUNTIFS(tblPresences[Étudiant],$C32,tblPresences[Code matière],P$5,tblPresences[Statut],"A"))</f>
        <v>0</v>
      </c>
      <c r="Q32" s="31">
        <f>IF(C32="","",SUM(E32:P32))</f>
        <v>0</v>
      </c>
      <c r="R32" s="30">
        <f>IF(C32="","",COUNTIFS(tblPresences[Étudiant],C32,tblPresences[Statut],"R"))</f>
        <v>0</v>
      </c>
      <c r="S32" s="124">
        <f>IF(C32="","",IFERROR((COUNTIFS(tblPresences[Étudiant],C32,tblPresences[Statut],"P")+COUNTIFS(tblPresences[Étudiant],C32,tblPresences[Statut],"R"))/COUNTIF(tblPresences[Étudiant],C32),""))</f>
        <v>0</v>
      </c>
      <c r="T32" s="30">
        <f>IF(C32="","",MAX(E32:P32))</f>
        <v>0</v>
      </c>
      <c r="U32" s="148">
        <f>IF(C32="","",IF(T32&gt;pSeuil,"⚠ ALERTE",""))</f>
        <v>0</v>
      </c>
    </row>
    <row r="33" spans="2:21">
      <c r="B33" s="145">
        <f>IF(C33="","",27)</f>
        <v>0</v>
      </c>
      <c r="C33" s="29">
        <f>IFERROR(INDEX(tblEtudiants[Nom et prénoms],27)&amp;"","")</f>
        <v>0</v>
      </c>
      <c r="D33" s="27">
        <f>IF(C33="","",INDEX(tblEtudiants[Groupe],27)&amp;"")</f>
        <v>0</v>
      </c>
      <c r="E33" s="27">
        <f>IF(OR($C33="",E$5=""),"",COUNTIFS(tblPresences[Étudiant],$C33,tblPresences[Code matière],E$5,tblPresences[Statut],"A"))</f>
        <v>0</v>
      </c>
      <c r="F33" s="27">
        <f>IF(OR($C33="",F$5=""),"",COUNTIFS(tblPresences[Étudiant],$C33,tblPresences[Code matière],F$5,tblPresences[Statut],"A"))</f>
        <v>0</v>
      </c>
      <c r="G33" s="27">
        <f>IF(OR($C33="",G$5=""),"",COUNTIFS(tblPresences[Étudiant],$C33,tblPresences[Code matière],G$5,tblPresences[Statut],"A"))</f>
        <v>0</v>
      </c>
      <c r="H33" s="27">
        <f>IF(OR($C33="",H$5=""),"",COUNTIFS(tblPresences[Étudiant],$C33,tblPresences[Code matière],H$5,tblPresences[Statut],"A"))</f>
        <v>0</v>
      </c>
      <c r="I33" s="27">
        <f>IF(OR($C33="",I$5=""),"",COUNTIFS(tblPresences[Étudiant],$C33,tblPresences[Code matière],I$5,tblPresences[Statut],"A"))</f>
        <v>0</v>
      </c>
      <c r="J33" s="27">
        <f>IF(OR($C33="",J$5=""),"",COUNTIFS(tblPresences[Étudiant],$C33,tblPresences[Code matière],J$5,tblPresences[Statut],"A"))</f>
        <v>0</v>
      </c>
      <c r="K33" s="27">
        <f>IF(OR($C33="",K$5=""),"",COUNTIFS(tblPresences[Étudiant],$C33,tblPresences[Code matière],K$5,tblPresences[Statut],"A"))</f>
        <v>0</v>
      </c>
      <c r="L33" s="27">
        <f>IF(OR($C33="",L$5=""),"",COUNTIFS(tblPresences[Étudiant],$C33,tblPresences[Code matière],L$5,tblPresences[Statut],"A"))</f>
        <v>0</v>
      </c>
      <c r="M33" s="27">
        <f>IF(OR($C33="",M$5=""),"",COUNTIFS(tblPresences[Étudiant],$C33,tblPresences[Code matière],M$5,tblPresences[Statut],"A"))</f>
        <v>0</v>
      </c>
      <c r="N33" s="27">
        <f>IF(OR($C33="",N$5=""),"",COUNTIFS(tblPresences[Étudiant],$C33,tblPresences[Code matière],N$5,tblPresences[Statut],"A"))</f>
        <v>0</v>
      </c>
      <c r="O33" s="27">
        <f>IF(OR($C33="",O$5=""),"",COUNTIFS(tblPresences[Étudiant],$C33,tblPresences[Code matière],O$5,tblPresences[Statut],"A"))</f>
        <v>0</v>
      </c>
      <c r="P33" s="27">
        <f>IF(OR($C33="",P$5=""),"",COUNTIFS(tblPresences[Étudiant],$C33,tblPresences[Code matière],P$5,tblPresences[Statut],"A"))</f>
        <v>0</v>
      </c>
      <c r="Q33" s="28">
        <f>IF(C33="","",SUM(E33:P33))</f>
        <v>0</v>
      </c>
      <c r="R33" s="27">
        <f>IF(C33="","",COUNTIFS(tblPresences[Étudiant],C33,tblPresences[Statut],"R"))</f>
        <v>0</v>
      </c>
      <c r="S33" s="123">
        <f>IF(C33="","",IFERROR((COUNTIFS(tblPresences[Étudiant],C33,tblPresences[Statut],"P")+COUNTIFS(tblPresences[Étudiant],C33,tblPresences[Statut],"R"))/COUNTIF(tblPresences[Étudiant],C33),""))</f>
        <v>0</v>
      </c>
      <c r="T33" s="27">
        <f>IF(C33="","",MAX(E33:P33))</f>
        <v>0</v>
      </c>
      <c r="U33" s="146">
        <f>IF(C33="","",IF(T33&gt;pSeuil,"⚠ ALERTE",""))</f>
        <v>0</v>
      </c>
    </row>
    <row r="34" spans="2:21">
      <c r="B34" s="147">
        <f>IF(C34="","",28)</f>
        <v>0</v>
      </c>
      <c r="C34" s="32">
        <f>IFERROR(INDEX(tblEtudiants[Nom et prénoms],28)&amp;"","")</f>
        <v>0</v>
      </c>
      <c r="D34" s="30">
        <f>IF(C34="","",INDEX(tblEtudiants[Groupe],28)&amp;"")</f>
        <v>0</v>
      </c>
      <c r="E34" s="30">
        <f>IF(OR($C34="",E$5=""),"",COUNTIFS(tblPresences[Étudiant],$C34,tblPresences[Code matière],E$5,tblPresences[Statut],"A"))</f>
        <v>0</v>
      </c>
      <c r="F34" s="30">
        <f>IF(OR($C34="",F$5=""),"",COUNTIFS(tblPresences[Étudiant],$C34,tblPresences[Code matière],F$5,tblPresences[Statut],"A"))</f>
        <v>0</v>
      </c>
      <c r="G34" s="30">
        <f>IF(OR($C34="",G$5=""),"",COUNTIFS(tblPresences[Étudiant],$C34,tblPresences[Code matière],G$5,tblPresences[Statut],"A"))</f>
        <v>0</v>
      </c>
      <c r="H34" s="30">
        <f>IF(OR($C34="",H$5=""),"",COUNTIFS(tblPresences[Étudiant],$C34,tblPresences[Code matière],H$5,tblPresences[Statut],"A"))</f>
        <v>0</v>
      </c>
      <c r="I34" s="30">
        <f>IF(OR($C34="",I$5=""),"",COUNTIFS(tblPresences[Étudiant],$C34,tblPresences[Code matière],I$5,tblPresences[Statut],"A"))</f>
        <v>0</v>
      </c>
      <c r="J34" s="30">
        <f>IF(OR($C34="",J$5=""),"",COUNTIFS(tblPresences[Étudiant],$C34,tblPresences[Code matière],J$5,tblPresences[Statut],"A"))</f>
        <v>0</v>
      </c>
      <c r="K34" s="30">
        <f>IF(OR($C34="",K$5=""),"",COUNTIFS(tblPresences[Étudiant],$C34,tblPresences[Code matière],K$5,tblPresences[Statut],"A"))</f>
        <v>0</v>
      </c>
      <c r="L34" s="30">
        <f>IF(OR($C34="",L$5=""),"",COUNTIFS(tblPresences[Étudiant],$C34,tblPresences[Code matière],L$5,tblPresences[Statut],"A"))</f>
        <v>0</v>
      </c>
      <c r="M34" s="30">
        <f>IF(OR($C34="",M$5=""),"",COUNTIFS(tblPresences[Étudiant],$C34,tblPresences[Code matière],M$5,tblPresences[Statut],"A"))</f>
        <v>0</v>
      </c>
      <c r="N34" s="30">
        <f>IF(OR($C34="",N$5=""),"",COUNTIFS(tblPresences[Étudiant],$C34,tblPresences[Code matière],N$5,tblPresences[Statut],"A"))</f>
        <v>0</v>
      </c>
      <c r="O34" s="30">
        <f>IF(OR($C34="",O$5=""),"",COUNTIFS(tblPresences[Étudiant],$C34,tblPresences[Code matière],O$5,tblPresences[Statut],"A"))</f>
        <v>0</v>
      </c>
      <c r="P34" s="30">
        <f>IF(OR($C34="",P$5=""),"",COUNTIFS(tblPresences[Étudiant],$C34,tblPresences[Code matière],P$5,tblPresences[Statut],"A"))</f>
        <v>0</v>
      </c>
      <c r="Q34" s="31">
        <f>IF(C34="","",SUM(E34:P34))</f>
        <v>0</v>
      </c>
      <c r="R34" s="30">
        <f>IF(C34="","",COUNTIFS(tblPresences[Étudiant],C34,tblPresences[Statut],"R"))</f>
        <v>0</v>
      </c>
      <c r="S34" s="124">
        <f>IF(C34="","",IFERROR((COUNTIFS(tblPresences[Étudiant],C34,tblPresences[Statut],"P")+COUNTIFS(tblPresences[Étudiant],C34,tblPresences[Statut],"R"))/COUNTIF(tblPresences[Étudiant],C34),""))</f>
        <v>0</v>
      </c>
      <c r="T34" s="30">
        <f>IF(C34="","",MAX(E34:P34))</f>
        <v>0</v>
      </c>
      <c r="U34" s="148">
        <f>IF(C34="","",IF(T34&gt;pSeuil,"⚠ ALERTE",""))</f>
        <v>0</v>
      </c>
    </row>
    <row r="35" spans="2:21">
      <c r="B35" s="145">
        <f>IF(C35="","",29)</f>
        <v>0</v>
      </c>
      <c r="C35" s="29">
        <f>IFERROR(INDEX(tblEtudiants[Nom et prénoms],29)&amp;"","")</f>
        <v>0</v>
      </c>
      <c r="D35" s="27">
        <f>IF(C35="","",INDEX(tblEtudiants[Groupe],29)&amp;"")</f>
        <v>0</v>
      </c>
      <c r="E35" s="27">
        <f>IF(OR($C35="",E$5=""),"",COUNTIFS(tblPresences[Étudiant],$C35,tblPresences[Code matière],E$5,tblPresences[Statut],"A"))</f>
        <v>0</v>
      </c>
      <c r="F35" s="27">
        <f>IF(OR($C35="",F$5=""),"",COUNTIFS(tblPresences[Étudiant],$C35,tblPresences[Code matière],F$5,tblPresences[Statut],"A"))</f>
        <v>0</v>
      </c>
      <c r="G35" s="27">
        <f>IF(OR($C35="",G$5=""),"",COUNTIFS(tblPresences[Étudiant],$C35,tblPresences[Code matière],G$5,tblPresences[Statut],"A"))</f>
        <v>0</v>
      </c>
      <c r="H35" s="27">
        <f>IF(OR($C35="",H$5=""),"",COUNTIFS(tblPresences[Étudiant],$C35,tblPresences[Code matière],H$5,tblPresences[Statut],"A"))</f>
        <v>0</v>
      </c>
      <c r="I35" s="27">
        <f>IF(OR($C35="",I$5=""),"",COUNTIFS(tblPresences[Étudiant],$C35,tblPresences[Code matière],I$5,tblPresences[Statut],"A"))</f>
        <v>0</v>
      </c>
      <c r="J35" s="27">
        <f>IF(OR($C35="",J$5=""),"",COUNTIFS(tblPresences[Étudiant],$C35,tblPresences[Code matière],J$5,tblPresences[Statut],"A"))</f>
        <v>0</v>
      </c>
      <c r="K35" s="27">
        <f>IF(OR($C35="",K$5=""),"",COUNTIFS(tblPresences[Étudiant],$C35,tblPresences[Code matière],K$5,tblPresences[Statut],"A"))</f>
        <v>0</v>
      </c>
      <c r="L35" s="27">
        <f>IF(OR($C35="",L$5=""),"",COUNTIFS(tblPresences[Étudiant],$C35,tblPresences[Code matière],L$5,tblPresences[Statut],"A"))</f>
        <v>0</v>
      </c>
      <c r="M35" s="27">
        <f>IF(OR($C35="",M$5=""),"",COUNTIFS(tblPresences[Étudiant],$C35,tblPresences[Code matière],M$5,tblPresences[Statut],"A"))</f>
        <v>0</v>
      </c>
      <c r="N35" s="27">
        <f>IF(OR($C35="",N$5=""),"",COUNTIFS(tblPresences[Étudiant],$C35,tblPresences[Code matière],N$5,tblPresences[Statut],"A"))</f>
        <v>0</v>
      </c>
      <c r="O35" s="27">
        <f>IF(OR($C35="",O$5=""),"",COUNTIFS(tblPresences[Étudiant],$C35,tblPresences[Code matière],O$5,tblPresences[Statut],"A"))</f>
        <v>0</v>
      </c>
      <c r="P35" s="27">
        <f>IF(OR($C35="",P$5=""),"",COUNTIFS(tblPresences[Étudiant],$C35,tblPresences[Code matière],P$5,tblPresences[Statut],"A"))</f>
        <v>0</v>
      </c>
      <c r="Q35" s="28">
        <f>IF(C35="","",SUM(E35:P35))</f>
        <v>0</v>
      </c>
      <c r="R35" s="27">
        <f>IF(C35="","",COUNTIFS(tblPresences[Étudiant],C35,tblPresences[Statut],"R"))</f>
        <v>0</v>
      </c>
      <c r="S35" s="123">
        <f>IF(C35="","",IFERROR((COUNTIFS(tblPresences[Étudiant],C35,tblPresences[Statut],"P")+COUNTIFS(tblPresences[Étudiant],C35,tblPresences[Statut],"R"))/COUNTIF(tblPresences[Étudiant],C35),""))</f>
        <v>0</v>
      </c>
      <c r="T35" s="27">
        <f>IF(C35="","",MAX(E35:P35))</f>
        <v>0</v>
      </c>
      <c r="U35" s="146">
        <f>IF(C35="","",IF(T35&gt;pSeuil,"⚠ ALERTE",""))</f>
        <v>0</v>
      </c>
    </row>
    <row r="36" spans="2:21">
      <c r="B36" s="147">
        <f>IF(C36="","",30)</f>
        <v>0</v>
      </c>
      <c r="C36" s="32">
        <f>IFERROR(INDEX(tblEtudiants[Nom et prénoms],30)&amp;"","")</f>
        <v>0</v>
      </c>
      <c r="D36" s="30">
        <f>IF(C36="","",INDEX(tblEtudiants[Groupe],30)&amp;"")</f>
        <v>0</v>
      </c>
      <c r="E36" s="30">
        <f>IF(OR($C36="",E$5=""),"",COUNTIFS(tblPresences[Étudiant],$C36,tblPresences[Code matière],E$5,tblPresences[Statut],"A"))</f>
        <v>0</v>
      </c>
      <c r="F36" s="30">
        <f>IF(OR($C36="",F$5=""),"",COUNTIFS(tblPresences[Étudiant],$C36,tblPresences[Code matière],F$5,tblPresences[Statut],"A"))</f>
        <v>0</v>
      </c>
      <c r="G36" s="30">
        <f>IF(OR($C36="",G$5=""),"",COUNTIFS(tblPresences[Étudiant],$C36,tblPresences[Code matière],G$5,tblPresences[Statut],"A"))</f>
        <v>0</v>
      </c>
      <c r="H36" s="30">
        <f>IF(OR($C36="",H$5=""),"",COUNTIFS(tblPresences[Étudiant],$C36,tblPresences[Code matière],H$5,tblPresences[Statut],"A"))</f>
        <v>0</v>
      </c>
      <c r="I36" s="30">
        <f>IF(OR($C36="",I$5=""),"",COUNTIFS(tblPresences[Étudiant],$C36,tblPresences[Code matière],I$5,tblPresences[Statut],"A"))</f>
        <v>0</v>
      </c>
      <c r="J36" s="30">
        <f>IF(OR($C36="",J$5=""),"",COUNTIFS(tblPresences[Étudiant],$C36,tblPresences[Code matière],J$5,tblPresences[Statut],"A"))</f>
        <v>0</v>
      </c>
      <c r="K36" s="30">
        <f>IF(OR($C36="",K$5=""),"",COUNTIFS(tblPresences[Étudiant],$C36,tblPresences[Code matière],K$5,tblPresences[Statut],"A"))</f>
        <v>0</v>
      </c>
      <c r="L36" s="30">
        <f>IF(OR($C36="",L$5=""),"",COUNTIFS(tblPresences[Étudiant],$C36,tblPresences[Code matière],L$5,tblPresences[Statut],"A"))</f>
        <v>0</v>
      </c>
      <c r="M36" s="30">
        <f>IF(OR($C36="",M$5=""),"",COUNTIFS(tblPresences[Étudiant],$C36,tblPresences[Code matière],M$5,tblPresences[Statut],"A"))</f>
        <v>0</v>
      </c>
      <c r="N36" s="30">
        <f>IF(OR($C36="",N$5=""),"",COUNTIFS(tblPresences[Étudiant],$C36,tblPresences[Code matière],N$5,tblPresences[Statut],"A"))</f>
        <v>0</v>
      </c>
      <c r="O36" s="30">
        <f>IF(OR($C36="",O$5=""),"",COUNTIFS(tblPresences[Étudiant],$C36,tblPresences[Code matière],O$5,tblPresences[Statut],"A"))</f>
        <v>0</v>
      </c>
      <c r="P36" s="30">
        <f>IF(OR($C36="",P$5=""),"",COUNTIFS(tblPresences[Étudiant],$C36,tblPresences[Code matière],P$5,tblPresences[Statut],"A"))</f>
        <v>0</v>
      </c>
      <c r="Q36" s="31">
        <f>IF(C36="","",SUM(E36:P36))</f>
        <v>0</v>
      </c>
      <c r="R36" s="30">
        <f>IF(C36="","",COUNTIFS(tblPresences[Étudiant],C36,tblPresences[Statut],"R"))</f>
        <v>0</v>
      </c>
      <c r="S36" s="124">
        <f>IF(C36="","",IFERROR((COUNTIFS(tblPresences[Étudiant],C36,tblPresences[Statut],"P")+COUNTIFS(tblPresences[Étudiant],C36,tblPresences[Statut],"R"))/COUNTIF(tblPresences[Étudiant],C36),""))</f>
        <v>0</v>
      </c>
      <c r="T36" s="30">
        <f>IF(C36="","",MAX(E36:P36))</f>
        <v>0</v>
      </c>
      <c r="U36" s="148">
        <f>IF(C36="","",IF(T36&gt;pSeuil,"⚠ ALERTE",""))</f>
        <v>0</v>
      </c>
    </row>
    <row r="37" spans="2:21">
      <c r="B37" s="145">
        <f>IF(C37="","",31)</f>
        <v>0</v>
      </c>
      <c r="C37" s="29">
        <f>IFERROR(INDEX(tblEtudiants[Nom et prénoms],31)&amp;"","")</f>
        <v>0</v>
      </c>
      <c r="D37" s="27">
        <f>IF(C37="","",INDEX(tblEtudiants[Groupe],31)&amp;"")</f>
        <v>0</v>
      </c>
      <c r="E37" s="27">
        <f>IF(OR($C37="",E$5=""),"",COUNTIFS(tblPresences[Étudiant],$C37,tblPresences[Code matière],E$5,tblPresences[Statut],"A"))</f>
        <v>0</v>
      </c>
      <c r="F37" s="27">
        <f>IF(OR($C37="",F$5=""),"",COUNTIFS(tblPresences[Étudiant],$C37,tblPresences[Code matière],F$5,tblPresences[Statut],"A"))</f>
        <v>0</v>
      </c>
      <c r="G37" s="27">
        <f>IF(OR($C37="",G$5=""),"",COUNTIFS(tblPresences[Étudiant],$C37,tblPresences[Code matière],G$5,tblPresences[Statut],"A"))</f>
        <v>0</v>
      </c>
      <c r="H37" s="27">
        <f>IF(OR($C37="",H$5=""),"",COUNTIFS(tblPresences[Étudiant],$C37,tblPresences[Code matière],H$5,tblPresences[Statut],"A"))</f>
        <v>0</v>
      </c>
      <c r="I37" s="27">
        <f>IF(OR($C37="",I$5=""),"",COUNTIFS(tblPresences[Étudiant],$C37,tblPresences[Code matière],I$5,tblPresences[Statut],"A"))</f>
        <v>0</v>
      </c>
      <c r="J37" s="27">
        <f>IF(OR($C37="",J$5=""),"",COUNTIFS(tblPresences[Étudiant],$C37,tblPresences[Code matière],J$5,tblPresences[Statut],"A"))</f>
        <v>0</v>
      </c>
      <c r="K37" s="27">
        <f>IF(OR($C37="",K$5=""),"",COUNTIFS(tblPresences[Étudiant],$C37,tblPresences[Code matière],K$5,tblPresences[Statut],"A"))</f>
        <v>0</v>
      </c>
      <c r="L37" s="27">
        <f>IF(OR($C37="",L$5=""),"",COUNTIFS(tblPresences[Étudiant],$C37,tblPresences[Code matière],L$5,tblPresences[Statut],"A"))</f>
        <v>0</v>
      </c>
      <c r="M37" s="27">
        <f>IF(OR($C37="",M$5=""),"",COUNTIFS(tblPresences[Étudiant],$C37,tblPresences[Code matière],M$5,tblPresences[Statut],"A"))</f>
        <v>0</v>
      </c>
      <c r="N37" s="27">
        <f>IF(OR($C37="",N$5=""),"",COUNTIFS(tblPresences[Étudiant],$C37,tblPresences[Code matière],N$5,tblPresences[Statut],"A"))</f>
        <v>0</v>
      </c>
      <c r="O37" s="27">
        <f>IF(OR($C37="",O$5=""),"",COUNTIFS(tblPresences[Étudiant],$C37,tblPresences[Code matière],O$5,tblPresences[Statut],"A"))</f>
        <v>0</v>
      </c>
      <c r="P37" s="27">
        <f>IF(OR($C37="",P$5=""),"",COUNTIFS(tblPresences[Étudiant],$C37,tblPresences[Code matière],P$5,tblPresences[Statut],"A"))</f>
        <v>0</v>
      </c>
      <c r="Q37" s="28">
        <f>IF(C37="","",SUM(E37:P37))</f>
        <v>0</v>
      </c>
      <c r="R37" s="27">
        <f>IF(C37="","",COUNTIFS(tblPresences[Étudiant],C37,tblPresences[Statut],"R"))</f>
        <v>0</v>
      </c>
      <c r="S37" s="123">
        <f>IF(C37="","",IFERROR((COUNTIFS(tblPresences[Étudiant],C37,tblPresences[Statut],"P")+COUNTIFS(tblPresences[Étudiant],C37,tblPresences[Statut],"R"))/COUNTIF(tblPresences[Étudiant],C37),""))</f>
        <v>0</v>
      </c>
      <c r="T37" s="27">
        <f>IF(C37="","",MAX(E37:P37))</f>
        <v>0</v>
      </c>
      <c r="U37" s="146">
        <f>IF(C37="","",IF(T37&gt;pSeuil,"⚠ ALERTE",""))</f>
        <v>0</v>
      </c>
    </row>
    <row r="38" spans="2:21">
      <c r="B38" s="147">
        <f>IF(C38="","",32)</f>
        <v>0</v>
      </c>
      <c r="C38" s="32">
        <f>IFERROR(INDEX(tblEtudiants[Nom et prénoms],32)&amp;"","")</f>
        <v>0</v>
      </c>
      <c r="D38" s="30">
        <f>IF(C38="","",INDEX(tblEtudiants[Groupe],32)&amp;"")</f>
        <v>0</v>
      </c>
      <c r="E38" s="30">
        <f>IF(OR($C38="",E$5=""),"",COUNTIFS(tblPresences[Étudiant],$C38,tblPresences[Code matière],E$5,tblPresences[Statut],"A"))</f>
        <v>0</v>
      </c>
      <c r="F38" s="30">
        <f>IF(OR($C38="",F$5=""),"",COUNTIFS(tblPresences[Étudiant],$C38,tblPresences[Code matière],F$5,tblPresences[Statut],"A"))</f>
        <v>0</v>
      </c>
      <c r="G38" s="30">
        <f>IF(OR($C38="",G$5=""),"",COUNTIFS(tblPresences[Étudiant],$C38,tblPresences[Code matière],G$5,tblPresences[Statut],"A"))</f>
        <v>0</v>
      </c>
      <c r="H38" s="30">
        <f>IF(OR($C38="",H$5=""),"",COUNTIFS(tblPresences[Étudiant],$C38,tblPresences[Code matière],H$5,tblPresences[Statut],"A"))</f>
        <v>0</v>
      </c>
      <c r="I38" s="30">
        <f>IF(OR($C38="",I$5=""),"",COUNTIFS(tblPresences[Étudiant],$C38,tblPresences[Code matière],I$5,tblPresences[Statut],"A"))</f>
        <v>0</v>
      </c>
      <c r="J38" s="30">
        <f>IF(OR($C38="",J$5=""),"",COUNTIFS(tblPresences[Étudiant],$C38,tblPresences[Code matière],J$5,tblPresences[Statut],"A"))</f>
        <v>0</v>
      </c>
      <c r="K38" s="30">
        <f>IF(OR($C38="",K$5=""),"",COUNTIFS(tblPresences[Étudiant],$C38,tblPresences[Code matière],K$5,tblPresences[Statut],"A"))</f>
        <v>0</v>
      </c>
      <c r="L38" s="30">
        <f>IF(OR($C38="",L$5=""),"",COUNTIFS(tblPresences[Étudiant],$C38,tblPresences[Code matière],L$5,tblPresences[Statut],"A"))</f>
        <v>0</v>
      </c>
      <c r="M38" s="30">
        <f>IF(OR($C38="",M$5=""),"",COUNTIFS(tblPresences[Étudiant],$C38,tblPresences[Code matière],M$5,tblPresences[Statut],"A"))</f>
        <v>0</v>
      </c>
      <c r="N38" s="30">
        <f>IF(OR($C38="",N$5=""),"",COUNTIFS(tblPresences[Étudiant],$C38,tblPresences[Code matière],N$5,tblPresences[Statut],"A"))</f>
        <v>0</v>
      </c>
      <c r="O38" s="30">
        <f>IF(OR($C38="",O$5=""),"",COUNTIFS(tblPresences[Étudiant],$C38,tblPresences[Code matière],O$5,tblPresences[Statut],"A"))</f>
        <v>0</v>
      </c>
      <c r="P38" s="30">
        <f>IF(OR($C38="",P$5=""),"",COUNTIFS(tblPresences[Étudiant],$C38,tblPresences[Code matière],P$5,tblPresences[Statut],"A"))</f>
        <v>0</v>
      </c>
      <c r="Q38" s="31">
        <f>IF(C38="","",SUM(E38:P38))</f>
        <v>0</v>
      </c>
      <c r="R38" s="30">
        <f>IF(C38="","",COUNTIFS(tblPresences[Étudiant],C38,tblPresences[Statut],"R"))</f>
        <v>0</v>
      </c>
      <c r="S38" s="124">
        <f>IF(C38="","",IFERROR((COUNTIFS(tblPresences[Étudiant],C38,tblPresences[Statut],"P")+COUNTIFS(tblPresences[Étudiant],C38,tblPresences[Statut],"R"))/COUNTIF(tblPresences[Étudiant],C38),""))</f>
        <v>0</v>
      </c>
      <c r="T38" s="30">
        <f>IF(C38="","",MAX(E38:P38))</f>
        <v>0</v>
      </c>
      <c r="U38" s="148">
        <f>IF(C38="","",IF(T38&gt;pSeuil,"⚠ ALERTE",""))</f>
        <v>0</v>
      </c>
    </row>
    <row r="39" spans="2:21">
      <c r="B39" s="145">
        <f>IF(C39="","",33)</f>
        <v>0</v>
      </c>
      <c r="C39" s="29">
        <f>IFERROR(INDEX(tblEtudiants[Nom et prénoms],33)&amp;"","")</f>
        <v>0</v>
      </c>
      <c r="D39" s="27">
        <f>IF(C39="","",INDEX(tblEtudiants[Groupe],33)&amp;"")</f>
        <v>0</v>
      </c>
      <c r="E39" s="27">
        <f>IF(OR($C39="",E$5=""),"",COUNTIFS(tblPresences[Étudiant],$C39,tblPresences[Code matière],E$5,tblPresences[Statut],"A"))</f>
        <v>0</v>
      </c>
      <c r="F39" s="27">
        <f>IF(OR($C39="",F$5=""),"",COUNTIFS(tblPresences[Étudiant],$C39,tblPresences[Code matière],F$5,tblPresences[Statut],"A"))</f>
        <v>0</v>
      </c>
      <c r="G39" s="27">
        <f>IF(OR($C39="",G$5=""),"",COUNTIFS(tblPresences[Étudiant],$C39,tblPresences[Code matière],G$5,tblPresences[Statut],"A"))</f>
        <v>0</v>
      </c>
      <c r="H39" s="27">
        <f>IF(OR($C39="",H$5=""),"",COUNTIFS(tblPresences[Étudiant],$C39,tblPresences[Code matière],H$5,tblPresences[Statut],"A"))</f>
        <v>0</v>
      </c>
      <c r="I39" s="27">
        <f>IF(OR($C39="",I$5=""),"",COUNTIFS(tblPresences[Étudiant],$C39,tblPresences[Code matière],I$5,tblPresences[Statut],"A"))</f>
        <v>0</v>
      </c>
      <c r="J39" s="27">
        <f>IF(OR($C39="",J$5=""),"",COUNTIFS(tblPresences[Étudiant],$C39,tblPresences[Code matière],J$5,tblPresences[Statut],"A"))</f>
        <v>0</v>
      </c>
      <c r="K39" s="27">
        <f>IF(OR($C39="",K$5=""),"",COUNTIFS(tblPresences[Étudiant],$C39,tblPresences[Code matière],K$5,tblPresences[Statut],"A"))</f>
        <v>0</v>
      </c>
      <c r="L39" s="27">
        <f>IF(OR($C39="",L$5=""),"",COUNTIFS(tblPresences[Étudiant],$C39,tblPresences[Code matière],L$5,tblPresences[Statut],"A"))</f>
        <v>0</v>
      </c>
      <c r="M39" s="27">
        <f>IF(OR($C39="",M$5=""),"",COUNTIFS(tblPresences[Étudiant],$C39,tblPresences[Code matière],M$5,tblPresences[Statut],"A"))</f>
        <v>0</v>
      </c>
      <c r="N39" s="27">
        <f>IF(OR($C39="",N$5=""),"",COUNTIFS(tblPresences[Étudiant],$C39,tblPresences[Code matière],N$5,tblPresences[Statut],"A"))</f>
        <v>0</v>
      </c>
      <c r="O39" s="27">
        <f>IF(OR($C39="",O$5=""),"",COUNTIFS(tblPresences[Étudiant],$C39,tblPresences[Code matière],O$5,tblPresences[Statut],"A"))</f>
        <v>0</v>
      </c>
      <c r="P39" s="27">
        <f>IF(OR($C39="",P$5=""),"",COUNTIFS(tblPresences[Étudiant],$C39,tblPresences[Code matière],P$5,tblPresences[Statut],"A"))</f>
        <v>0</v>
      </c>
      <c r="Q39" s="28">
        <f>IF(C39="","",SUM(E39:P39))</f>
        <v>0</v>
      </c>
      <c r="R39" s="27">
        <f>IF(C39="","",COUNTIFS(tblPresences[Étudiant],C39,tblPresences[Statut],"R"))</f>
        <v>0</v>
      </c>
      <c r="S39" s="123">
        <f>IF(C39="","",IFERROR((COUNTIFS(tblPresences[Étudiant],C39,tblPresences[Statut],"P")+COUNTIFS(tblPresences[Étudiant],C39,tblPresences[Statut],"R"))/COUNTIF(tblPresences[Étudiant],C39),""))</f>
        <v>0</v>
      </c>
      <c r="T39" s="27">
        <f>IF(C39="","",MAX(E39:P39))</f>
        <v>0</v>
      </c>
      <c r="U39" s="146">
        <f>IF(C39="","",IF(T39&gt;pSeuil,"⚠ ALERTE",""))</f>
        <v>0</v>
      </c>
    </row>
    <row r="40" spans="2:21">
      <c r="B40" s="147">
        <f>IF(C40="","",34)</f>
        <v>0</v>
      </c>
      <c r="C40" s="32">
        <f>IFERROR(INDEX(tblEtudiants[Nom et prénoms],34)&amp;"","")</f>
        <v>0</v>
      </c>
      <c r="D40" s="30">
        <f>IF(C40="","",INDEX(tblEtudiants[Groupe],34)&amp;"")</f>
        <v>0</v>
      </c>
      <c r="E40" s="30">
        <f>IF(OR($C40="",E$5=""),"",COUNTIFS(tblPresences[Étudiant],$C40,tblPresences[Code matière],E$5,tblPresences[Statut],"A"))</f>
        <v>0</v>
      </c>
      <c r="F40" s="30">
        <f>IF(OR($C40="",F$5=""),"",COUNTIFS(tblPresences[Étudiant],$C40,tblPresences[Code matière],F$5,tblPresences[Statut],"A"))</f>
        <v>0</v>
      </c>
      <c r="G40" s="30">
        <f>IF(OR($C40="",G$5=""),"",COUNTIFS(tblPresences[Étudiant],$C40,tblPresences[Code matière],G$5,tblPresences[Statut],"A"))</f>
        <v>0</v>
      </c>
      <c r="H40" s="30">
        <f>IF(OR($C40="",H$5=""),"",COUNTIFS(tblPresences[Étudiant],$C40,tblPresences[Code matière],H$5,tblPresences[Statut],"A"))</f>
        <v>0</v>
      </c>
      <c r="I40" s="30">
        <f>IF(OR($C40="",I$5=""),"",COUNTIFS(tblPresences[Étudiant],$C40,tblPresences[Code matière],I$5,tblPresences[Statut],"A"))</f>
        <v>0</v>
      </c>
      <c r="J40" s="30">
        <f>IF(OR($C40="",J$5=""),"",COUNTIFS(tblPresences[Étudiant],$C40,tblPresences[Code matière],J$5,tblPresences[Statut],"A"))</f>
        <v>0</v>
      </c>
      <c r="K40" s="30">
        <f>IF(OR($C40="",K$5=""),"",COUNTIFS(tblPresences[Étudiant],$C40,tblPresences[Code matière],K$5,tblPresences[Statut],"A"))</f>
        <v>0</v>
      </c>
      <c r="L40" s="30">
        <f>IF(OR($C40="",L$5=""),"",COUNTIFS(tblPresences[Étudiant],$C40,tblPresences[Code matière],L$5,tblPresences[Statut],"A"))</f>
        <v>0</v>
      </c>
      <c r="M40" s="30">
        <f>IF(OR($C40="",M$5=""),"",COUNTIFS(tblPresences[Étudiant],$C40,tblPresences[Code matière],M$5,tblPresences[Statut],"A"))</f>
        <v>0</v>
      </c>
      <c r="N40" s="30">
        <f>IF(OR($C40="",N$5=""),"",COUNTIFS(tblPresences[Étudiant],$C40,tblPresences[Code matière],N$5,tblPresences[Statut],"A"))</f>
        <v>0</v>
      </c>
      <c r="O40" s="30">
        <f>IF(OR($C40="",O$5=""),"",COUNTIFS(tblPresences[Étudiant],$C40,tblPresences[Code matière],O$5,tblPresences[Statut],"A"))</f>
        <v>0</v>
      </c>
      <c r="P40" s="30">
        <f>IF(OR($C40="",P$5=""),"",COUNTIFS(tblPresences[Étudiant],$C40,tblPresences[Code matière],P$5,tblPresences[Statut],"A"))</f>
        <v>0</v>
      </c>
      <c r="Q40" s="31">
        <f>IF(C40="","",SUM(E40:P40))</f>
        <v>0</v>
      </c>
      <c r="R40" s="30">
        <f>IF(C40="","",COUNTIFS(tblPresences[Étudiant],C40,tblPresences[Statut],"R"))</f>
        <v>0</v>
      </c>
      <c r="S40" s="124">
        <f>IF(C40="","",IFERROR((COUNTIFS(tblPresences[Étudiant],C40,tblPresences[Statut],"P")+COUNTIFS(tblPresences[Étudiant],C40,tblPresences[Statut],"R"))/COUNTIF(tblPresences[Étudiant],C40),""))</f>
        <v>0</v>
      </c>
      <c r="T40" s="30">
        <f>IF(C40="","",MAX(E40:P40))</f>
        <v>0</v>
      </c>
      <c r="U40" s="148">
        <f>IF(C40="","",IF(T40&gt;pSeuil,"⚠ ALERTE",""))</f>
        <v>0</v>
      </c>
    </row>
    <row r="41" spans="2:21">
      <c r="B41" s="145">
        <f>IF(C41="","",35)</f>
        <v>0</v>
      </c>
      <c r="C41" s="29">
        <f>IFERROR(INDEX(tblEtudiants[Nom et prénoms],35)&amp;"","")</f>
        <v>0</v>
      </c>
      <c r="D41" s="27">
        <f>IF(C41="","",INDEX(tblEtudiants[Groupe],35)&amp;"")</f>
        <v>0</v>
      </c>
      <c r="E41" s="27">
        <f>IF(OR($C41="",E$5=""),"",COUNTIFS(tblPresences[Étudiant],$C41,tblPresences[Code matière],E$5,tblPresences[Statut],"A"))</f>
        <v>0</v>
      </c>
      <c r="F41" s="27">
        <f>IF(OR($C41="",F$5=""),"",COUNTIFS(tblPresences[Étudiant],$C41,tblPresences[Code matière],F$5,tblPresences[Statut],"A"))</f>
        <v>0</v>
      </c>
      <c r="G41" s="27">
        <f>IF(OR($C41="",G$5=""),"",COUNTIFS(tblPresences[Étudiant],$C41,tblPresences[Code matière],G$5,tblPresences[Statut],"A"))</f>
        <v>0</v>
      </c>
      <c r="H41" s="27">
        <f>IF(OR($C41="",H$5=""),"",COUNTIFS(tblPresences[Étudiant],$C41,tblPresences[Code matière],H$5,tblPresences[Statut],"A"))</f>
        <v>0</v>
      </c>
      <c r="I41" s="27">
        <f>IF(OR($C41="",I$5=""),"",COUNTIFS(tblPresences[Étudiant],$C41,tblPresences[Code matière],I$5,tblPresences[Statut],"A"))</f>
        <v>0</v>
      </c>
      <c r="J41" s="27">
        <f>IF(OR($C41="",J$5=""),"",COUNTIFS(tblPresences[Étudiant],$C41,tblPresences[Code matière],J$5,tblPresences[Statut],"A"))</f>
        <v>0</v>
      </c>
      <c r="K41" s="27">
        <f>IF(OR($C41="",K$5=""),"",COUNTIFS(tblPresences[Étudiant],$C41,tblPresences[Code matière],K$5,tblPresences[Statut],"A"))</f>
        <v>0</v>
      </c>
      <c r="L41" s="27">
        <f>IF(OR($C41="",L$5=""),"",COUNTIFS(tblPresences[Étudiant],$C41,tblPresences[Code matière],L$5,tblPresences[Statut],"A"))</f>
        <v>0</v>
      </c>
      <c r="M41" s="27">
        <f>IF(OR($C41="",M$5=""),"",COUNTIFS(tblPresences[Étudiant],$C41,tblPresences[Code matière],M$5,tblPresences[Statut],"A"))</f>
        <v>0</v>
      </c>
      <c r="N41" s="27">
        <f>IF(OR($C41="",N$5=""),"",COUNTIFS(tblPresences[Étudiant],$C41,tblPresences[Code matière],N$5,tblPresences[Statut],"A"))</f>
        <v>0</v>
      </c>
      <c r="O41" s="27">
        <f>IF(OR($C41="",O$5=""),"",COUNTIFS(tblPresences[Étudiant],$C41,tblPresences[Code matière],O$5,tblPresences[Statut],"A"))</f>
        <v>0</v>
      </c>
      <c r="P41" s="27">
        <f>IF(OR($C41="",P$5=""),"",COUNTIFS(tblPresences[Étudiant],$C41,tblPresences[Code matière],P$5,tblPresences[Statut],"A"))</f>
        <v>0</v>
      </c>
      <c r="Q41" s="28">
        <f>IF(C41="","",SUM(E41:P41))</f>
        <v>0</v>
      </c>
      <c r="R41" s="27">
        <f>IF(C41="","",COUNTIFS(tblPresences[Étudiant],C41,tblPresences[Statut],"R"))</f>
        <v>0</v>
      </c>
      <c r="S41" s="123">
        <f>IF(C41="","",IFERROR((COUNTIFS(tblPresences[Étudiant],C41,tblPresences[Statut],"P")+COUNTIFS(tblPresences[Étudiant],C41,tblPresences[Statut],"R"))/COUNTIF(tblPresences[Étudiant],C41),""))</f>
        <v>0</v>
      </c>
      <c r="T41" s="27">
        <f>IF(C41="","",MAX(E41:P41))</f>
        <v>0</v>
      </c>
      <c r="U41" s="146">
        <f>IF(C41="","",IF(T41&gt;pSeuil,"⚠ ALERTE",""))</f>
        <v>0</v>
      </c>
    </row>
    <row r="42" spans="2:21">
      <c r="B42" s="147">
        <f>IF(C42="","",36)</f>
        <v>0</v>
      </c>
      <c r="C42" s="32">
        <f>IFERROR(INDEX(tblEtudiants[Nom et prénoms],36)&amp;"","")</f>
        <v>0</v>
      </c>
      <c r="D42" s="30">
        <f>IF(C42="","",INDEX(tblEtudiants[Groupe],36)&amp;"")</f>
        <v>0</v>
      </c>
      <c r="E42" s="30">
        <f>IF(OR($C42="",E$5=""),"",COUNTIFS(tblPresences[Étudiant],$C42,tblPresences[Code matière],E$5,tblPresences[Statut],"A"))</f>
        <v>0</v>
      </c>
      <c r="F42" s="30">
        <f>IF(OR($C42="",F$5=""),"",COUNTIFS(tblPresences[Étudiant],$C42,tblPresences[Code matière],F$5,tblPresences[Statut],"A"))</f>
        <v>0</v>
      </c>
      <c r="G42" s="30">
        <f>IF(OR($C42="",G$5=""),"",COUNTIFS(tblPresences[Étudiant],$C42,tblPresences[Code matière],G$5,tblPresences[Statut],"A"))</f>
        <v>0</v>
      </c>
      <c r="H42" s="30">
        <f>IF(OR($C42="",H$5=""),"",COUNTIFS(tblPresences[Étudiant],$C42,tblPresences[Code matière],H$5,tblPresences[Statut],"A"))</f>
        <v>0</v>
      </c>
      <c r="I42" s="30">
        <f>IF(OR($C42="",I$5=""),"",COUNTIFS(tblPresences[Étudiant],$C42,tblPresences[Code matière],I$5,tblPresences[Statut],"A"))</f>
        <v>0</v>
      </c>
      <c r="J42" s="30">
        <f>IF(OR($C42="",J$5=""),"",COUNTIFS(tblPresences[Étudiant],$C42,tblPresences[Code matière],J$5,tblPresences[Statut],"A"))</f>
        <v>0</v>
      </c>
      <c r="K42" s="30">
        <f>IF(OR($C42="",K$5=""),"",COUNTIFS(tblPresences[Étudiant],$C42,tblPresences[Code matière],K$5,tblPresences[Statut],"A"))</f>
        <v>0</v>
      </c>
      <c r="L42" s="30">
        <f>IF(OR($C42="",L$5=""),"",COUNTIFS(tblPresences[Étudiant],$C42,tblPresences[Code matière],L$5,tblPresences[Statut],"A"))</f>
        <v>0</v>
      </c>
      <c r="M42" s="30">
        <f>IF(OR($C42="",M$5=""),"",COUNTIFS(tblPresences[Étudiant],$C42,tblPresences[Code matière],M$5,tblPresences[Statut],"A"))</f>
        <v>0</v>
      </c>
      <c r="N42" s="30">
        <f>IF(OR($C42="",N$5=""),"",COUNTIFS(tblPresences[Étudiant],$C42,tblPresences[Code matière],N$5,tblPresences[Statut],"A"))</f>
        <v>0</v>
      </c>
      <c r="O42" s="30">
        <f>IF(OR($C42="",O$5=""),"",COUNTIFS(tblPresences[Étudiant],$C42,tblPresences[Code matière],O$5,tblPresences[Statut],"A"))</f>
        <v>0</v>
      </c>
      <c r="P42" s="30">
        <f>IF(OR($C42="",P$5=""),"",COUNTIFS(tblPresences[Étudiant],$C42,tblPresences[Code matière],P$5,tblPresences[Statut],"A"))</f>
        <v>0</v>
      </c>
      <c r="Q42" s="31">
        <f>IF(C42="","",SUM(E42:P42))</f>
        <v>0</v>
      </c>
      <c r="R42" s="30">
        <f>IF(C42="","",COUNTIFS(tblPresences[Étudiant],C42,tblPresences[Statut],"R"))</f>
        <v>0</v>
      </c>
      <c r="S42" s="124">
        <f>IF(C42="","",IFERROR((COUNTIFS(tblPresences[Étudiant],C42,tblPresences[Statut],"P")+COUNTIFS(tblPresences[Étudiant],C42,tblPresences[Statut],"R"))/COUNTIF(tblPresences[Étudiant],C42),""))</f>
        <v>0</v>
      </c>
      <c r="T42" s="30">
        <f>IF(C42="","",MAX(E42:P42))</f>
        <v>0</v>
      </c>
      <c r="U42" s="148">
        <f>IF(C42="","",IF(T42&gt;pSeuil,"⚠ ALERTE",""))</f>
        <v>0</v>
      </c>
    </row>
    <row r="43" spans="2:21">
      <c r="B43" s="145">
        <f>IF(C43="","",37)</f>
        <v>0</v>
      </c>
      <c r="C43" s="29">
        <f>IFERROR(INDEX(tblEtudiants[Nom et prénoms],37)&amp;"","")</f>
        <v>0</v>
      </c>
      <c r="D43" s="27">
        <f>IF(C43="","",INDEX(tblEtudiants[Groupe],37)&amp;"")</f>
        <v>0</v>
      </c>
      <c r="E43" s="27">
        <f>IF(OR($C43="",E$5=""),"",COUNTIFS(tblPresences[Étudiant],$C43,tblPresences[Code matière],E$5,tblPresences[Statut],"A"))</f>
        <v>0</v>
      </c>
      <c r="F43" s="27">
        <f>IF(OR($C43="",F$5=""),"",COUNTIFS(tblPresences[Étudiant],$C43,tblPresences[Code matière],F$5,tblPresences[Statut],"A"))</f>
        <v>0</v>
      </c>
      <c r="G43" s="27">
        <f>IF(OR($C43="",G$5=""),"",COUNTIFS(tblPresences[Étudiant],$C43,tblPresences[Code matière],G$5,tblPresences[Statut],"A"))</f>
        <v>0</v>
      </c>
      <c r="H43" s="27">
        <f>IF(OR($C43="",H$5=""),"",COUNTIFS(tblPresences[Étudiant],$C43,tblPresences[Code matière],H$5,tblPresences[Statut],"A"))</f>
        <v>0</v>
      </c>
      <c r="I43" s="27">
        <f>IF(OR($C43="",I$5=""),"",COUNTIFS(tblPresences[Étudiant],$C43,tblPresences[Code matière],I$5,tblPresences[Statut],"A"))</f>
        <v>0</v>
      </c>
      <c r="J43" s="27">
        <f>IF(OR($C43="",J$5=""),"",COUNTIFS(tblPresences[Étudiant],$C43,tblPresences[Code matière],J$5,tblPresences[Statut],"A"))</f>
        <v>0</v>
      </c>
      <c r="K43" s="27">
        <f>IF(OR($C43="",K$5=""),"",COUNTIFS(tblPresences[Étudiant],$C43,tblPresences[Code matière],K$5,tblPresences[Statut],"A"))</f>
        <v>0</v>
      </c>
      <c r="L43" s="27">
        <f>IF(OR($C43="",L$5=""),"",COUNTIFS(tblPresences[Étudiant],$C43,tblPresences[Code matière],L$5,tblPresences[Statut],"A"))</f>
        <v>0</v>
      </c>
      <c r="M43" s="27">
        <f>IF(OR($C43="",M$5=""),"",COUNTIFS(tblPresences[Étudiant],$C43,tblPresences[Code matière],M$5,tblPresences[Statut],"A"))</f>
        <v>0</v>
      </c>
      <c r="N43" s="27">
        <f>IF(OR($C43="",N$5=""),"",COUNTIFS(tblPresences[Étudiant],$C43,tblPresences[Code matière],N$5,tblPresences[Statut],"A"))</f>
        <v>0</v>
      </c>
      <c r="O43" s="27">
        <f>IF(OR($C43="",O$5=""),"",COUNTIFS(tblPresences[Étudiant],$C43,tblPresences[Code matière],O$5,tblPresences[Statut],"A"))</f>
        <v>0</v>
      </c>
      <c r="P43" s="27">
        <f>IF(OR($C43="",P$5=""),"",COUNTIFS(tblPresences[Étudiant],$C43,tblPresences[Code matière],P$5,tblPresences[Statut],"A"))</f>
        <v>0</v>
      </c>
      <c r="Q43" s="28">
        <f>IF(C43="","",SUM(E43:P43))</f>
        <v>0</v>
      </c>
      <c r="R43" s="27">
        <f>IF(C43="","",COUNTIFS(tblPresences[Étudiant],C43,tblPresences[Statut],"R"))</f>
        <v>0</v>
      </c>
      <c r="S43" s="123">
        <f>IF(C43="","",IFERROR((COUNTIFS(tblPresences[Étudiant],C43,tblPresences[Statut],"P")+COUNTIFS(tblPresences[Étudiant],C43,tblPresences[Statut],"R"))/COUNTIF(tblPresences[Étudiant],C43),""))</f>
        <v>0</v>
      </c>
      <c r="T43" s="27">
        <f>IF(C43="","",MAX(E43:P43))</f>
        <v>0</v>
      </c>
      <c r="U43" s="146">
        <f>IF(C43="","",IF(T43&gt;pSeuil,"⚠ ALERTE",""))</f>
        <v>0</v>
      </c>
    </row>
    <row r="44" spans="2:21">
      <c r="B44" s="147">
        <f>IF(C44="","",38)</f>
        <v>0</v>
      </c>
      <c r="C44" s="32">
        <f>IFERROR(INDEX(tblEtudiants[Nom et prénoms],38)&amp;"","")</f>
        <v>0</v>
      </c>
      <c r="D44" s="30">
        <f>IF(C44="","",INDEX(tblEtudiants[Groupe],38)&amp;"")</f>
        <v>0</v>
      </c>
      <c r="E44" s="30">
        <f>IF(OR($C44="",E$5=""),"",COUNTIFS(tblPresences[Étudiant],$C44,tblPresences[Code matière],E$5,tblPresences[Statut],"A"))</f>
        <v>0</v>
      </c>
      <c r="F44" s="30">
        <f>IF(OR($C44="",F$5=""),"",COUNTIFS(tblPresences[Étudiant],$C44,tblPresences[Code matière],F$5,tblPresences[Statut],"A"))</f>
        <v>0</v>
      </c>
      <c r="G44" s="30">
        <f>IF(OR($C44="",G$5=""),"",COUNTIFS(tblPresences[Étudiant],$C44,tblPresences[Code matière],G$5,tblPresences[Statut],"A"))</f>
        <v>0</v>
      </c>
      <c r="H44" s="30">
        <f>IF(OR($C44="",H$5=""),"",COUNTIFS(tblPresences[Étudiant],$C44,tblPresences[Code matière],H$5,tblPresences[Statut],"A"))</f>
        <v>0</v>
      </c>
      <c r="I44" s="30">
        <f>IF(OR($C44="",I$5=""),"",COUNTIFS(tblPresences[Étudiant],$C44,tblPresences[Code matière],I$5,tblPresences[Statut],"A"))</f>
        <v>0</v>
      </c>
      <c r="J44" s="30">
        <f>IF(OR($C44="",J$5=""),"",COUNTIFS(tblPresences[Étudiant],$C44,tblPresences[Code matière],J$5,tblPresences[Statut],"A"))</f>
        <v>0</v>
      </c>
      <c r="K44" s="30">
        <f>IF(OR($C44="",K$5=""),"",COUNTIFS(tblPresences[Étudiant],$C44,tblPresences[Code matière],K$5,tblPresences[Statut],"A"))</f>
        <v>0</v>
      </c>
      <c r="L44" s="30">
        <f>IF(OR($C44="",L$5=""),"",COUNTIFS(tblPresences[Étudiant],$C44,tblPresences[Code matière],L$5,tblPresences[Statut],"A"))</f>
        <v>0</v>
      </c>
      <c r="M44" s="30">
        <f>IF(OR($C44="",M$5=""),"",COUNTIFS(tblPresences[Étudiant],$C44,tblPresences[Code matière],M$5,tblPresences[Statut],"A"))</f>
        <v>0</v>
      </c>
      <c r="N44" s="30">
        <f>IF(OR($C44="",N$5=""),"",COUNTIFS(tblPresences[Étudiant],$C44,tblPresences[Code matière],N$5,tblPresences[Statut],"A"))</f>
        <v>0</v>
      </c>
      <c r="O44" s="30">
        <f>IF(OR($C44="",O$5=""),"",COUNTIFS(tblPresences[Étudiant],$C44,tblPresences[Code matière],O$5,tblPresences[Statut],"A"))</f>
        <v>0</v>
      </c>
      <c r="P44" s="30">
        <f>IF(OR($C44="",P$5=""),"",COUNTIFS(tblPresences[Étudiant],$C44,tblPresences[Code matière],P$5,tblPresences[Statut],"A"))</f>
        <v>0</v>
      </c>
      <c r="Q44" s="31">
        <f>IF(C44="","",SUM(E44:P44))</f>
        <v>0</v>
      </c>
      <c r="R44" s="30">
        <f>IF(C44="","",COUNTIFS(tblPresences[Étudiant],C44,tblPresences[Statut],"R"))</f>
        <v>0</v>
      </c>
      <c r="S44" s="124">
        <f>IF(C44="","",IFERROR((COUNTIFS(tblPresences[Étudiant],C44,tblPresences[Statut],"P")+COUNTIFS(tblPresences[Étudiant],C44,tblPresences[Statut],"R"))/COUNTIF(tblPresences[Étudiant],C44),""))</f>
        <v>0</v>
      </c>
      <c r="T44" s="30">
        <f>IF(C44="","",MAX(E44:P44))</f>
        <v>0</v>
      </c>
      <c r="U44" s="148">
        <f>IF(C44="","",IF(T44&gt;pSeuil,"⚠ ALERTE",""))</f>
        <v>0</v>
      </c>
    </row>
    <row r="45" spans="2:21">
      <c r="B45" s="145">
        <f>IF(C45="","",39)</f>
        <v>0</v>
      </c>
      <c r="C45" s="29">
        <f>IFERROR(INDEX(tblEtudiants[Nom et prénoms],39)&amp;"","")</f>
        <v>0</v>
      </c>
      <c r="D45" s="27">
        <f>IF(C45="","",INDEX(tblEtudiants[Groupe],39)&amp;"")</f>
        <v>0</v>
      </c>
      <c r="E45" s="27">
        <f>IF(OR($C45="",E$5=""),"",COUNTIFS(tblPresences[Étudiant],$C45,tblPresences[Code matière],E$5,tblPresences[Statut],"A"))</f>
        <v>0</v>
      </c>
      <c r="F45" s="27">
        <f>IF(OR($C45="",F$5=""),"",COUNTIFS(tblPresences[Étudiant],$C45,tblPresences[Code matière],F$5,tblPresences[Statut],"A"))</f>
        <v>0</v>
      </c>
      <c r="G45" s="27">
        <f>IF(OR($C45="",G$5=""),"",COUNTIFS(tblPresences[Étudiant],$C45,tblPresences[Code matière],G$5,tblPresences[Statut],"A"))</f>
        <v>0</v>
      </c>
      <c r="H45" s="27">
        <f>IF(OR($C45="",H$5=""),"",COUNTIFS(tblPresences[Étudiant],$C45,tblPresences[Code matière],H$5,tblPresences[Statut],"A"))</f>
        <v>0</v>
      </c>
      <c r="I45" s="27">
        <f>IF(OR($C45="",I$5=""),"",COUNTIFS(tblPresences[Étudiant],$C45,tblPresences[Code matière],I$5,tblPresences[Statut],"A"))</f>
        <v>0</v>
      </c>
      <c r="J45" s="27">
        <f>IF(OR($C45="",J$5=""),"",COUNTIFS(tblPresences[Étudiant],$C45,tblPresences[Code matière],J$5,tblPresences[Statut],"A"))</f>
        <v>0</v>
      </c>
      <c r="K45" s="27">
        <f>IF(OR($C45="",K$5=""),"",COUNTIFS(tblPresences[Étudiant],$C45,tblPresences[Code matière],K$5,tblPresences[Statut],"A"))</f>
        <v>0</v>
      </c>
      <c r="L45" s="27">
        <f>IF(OR($C45="",L$5=""),"",COUNTIFS(tblPresences[Étudiant],$C45,tblPresences[Code matière],L$5,tblPresences[Statut],"A"))</f>
        <v>0</v>
      </c>
      <c r="M45" s="27">
        <f>IF(OR($C45="",M$5=""),"",COUNTIFS(tblPresences[Étudiant],$C45,tblPresences[Code matière],M$5,tblPresences[Statut],"A"))</f>
        <v>0</v>
      </c>
      <c r="N45" s="27">
        <f>IF(OR($C45="",N$5=""),"",COUNTIFS(tblPresences[Étudiant],$C45,tblPresences[Code matière],N$5,tblPresences[Statut],"A"))</f>
        <v>0</v>
      </c>
      <c r="O45" s="27">
        <f>IF(OR($C45="",O$5=""),"",COUNTIFS(tblPresences[Étudiant],$C45,tblPresences[Code matière],O$5,tblPresences[Statut],"A"))</f>
        <v>0</v>
      </c>
      <c r="P45" s="27">
        <f>IF(OR($C45="",P$5=""),"",COUNTIFS(tblPresences[Étudiant],$C45,tblPresences[Code matière],P$5,tblPresences[Statut],"A"))</f>
        <v>0</v>
      </c>
      <c r="Q45" s="28">
        <f>IF(C45="","",SUM(E45:P45))</f>
        <v>0</v>
      </c>
      <c r="R45" s="27">
        <f>IF(C45="","",COUNTIFS(tblPresences[Étudiant],C45,tblPresences[Statut],"R"))</f>
        <v>0</v>
      </c>
      <c r="S45" s="123">
        <f>IF(C45="","",IFERROR((COUNTIFS(tblPresences[Étudiant],C45,tblPresences[Statut],"P")+COUNTIFS(tblPresences[Étudiant],C45,tblPresences[Statut],"R"))/COUNTIF(tblPresences[Étudiant],C45),""))</f>
        <v>0</v>
      </c>
      <c r="T45" s="27">
        <f>IF(C45="","",MAX(E45:P45))</f>
        <v>0</v>
      </c>
      <c r="U45" s="146">
        <f>IF(C45="","",IF(T45&gt;pSeuil,"⚠ ALERTE",""))</f>
        <v>0</v>
      </c>
    </row>
    <row r="46" spans="2:21">
      <c r="B46" s="147">
        <f>IF(C46="","",40)</f>
        <v>0</v>
      </c>
      <c r="C46" s="32">
        <f>IFERROR(INDEX(tblEtudiants[Nom et prénoms],40)&amp;"","")</f>
        <v>0</v>
      </c>
      <c r="D46" s="30">
        <f>IF(C46="","",INDEX(tblEtudiants[Groupe],40)&amp;"")</f>
        <v>0</v>
      </c>
      <c r="E46" s="30">
        <f>IF(OR($C46="",E$5=""),"",COUNTIFS(tblPresences[Étudiant],$C46,tblPresences[Code matière],E$5,tblPresences[Statut],"A"))</f>
        <v>0</v>
      </c>
      <c r="F46" s="30">
        <f>IF(OR($C46="",F$5=""),"",COUNTIFS(tblPresences[Étudiant],$C46,tblPresences[Code matière],F$5,tblPresences[Statut],"A"))</f>
        <v>0</v>
      </c>
      <c r="G46" s="30">
        <f>IF(OR($C46="",G$5=""),"",COUNTIFS(tblPresences[Étudiant],$C46,tblPresences[Code matière],G$5,tblPresences[Statut],"A"))</f>
        <v>0</v>
      </c>
      <c r="H46" s="30">
        <f>IF(OR($C46="",H$5=""),"",COUNTIFS(tblPresences[Étudiant],$C46,tblPresences[Code matière],H$5,tblPresences[Statut],"A"))</f>
        <v>0</v>
      </c>
      <c r="I46" s="30">
        <f>IF(OR($C46="",I$5=""),"",COUNTIFS(tblPresences[Étudiant],$C46,tblPresences[Code matière],I$5,tblPresences[Statut],"A"))</f>
        <v>0</v>
      </c>
      <c r="J46" s="30">
        <f>IF(OR($C46="",J$5=""),"",COUNTIFS(tblPresences[Étudiant],$C46,tblPresences[Code matière],J$5,tblPresences[Statut],"A"))</f>
        <v>0</v>
      </c>
      <c r="K46" s="30">
        <f>IF(OR($C46="",K$5=""),"",COUNTIFS(tblPresences[Étudiant],$C46,tblPresences[Code matière],K$5,tblPresences[Statut],"A"))</f>
        <v>0</v>
      </c>
      <c r="L46" s="30">
        <f>IF(OR($C46="",L$5=""),"",COUNTIFS(tblPresences[Étudiant],$C46,tblPresences[Code matière],L$5,tblPresences[Statut],"A"))</f>
        <v>0</v>
      </c>
      <c r="M46" s="30">
        <f>IF(OR($C46="",M$5=""),"",COUNTIFS(tblPresences[Étudiant],$C46,tblPresences[Code matière],M$5,tblPresences[Statut],"A"))</f>
        <v>0</v>
      </c>
      <c r="N46" s="30">
        <f>IF(OR($C46="",N$5=""),"",COUNTIFS(tblPresences[Étudiant],$C46,tblPresences[Code matière],N$5,tblPresences[Statut],"A"))</f>
        <v>0</v>
      </c>
      <c r="O46" s="30">
        <f>IF(OR($C46="",O$5=""),"",COUNTIFS(tblPresences[Étudiant],$C46,tblPresences[Code matière],O$5,tblPresences[Statut],"A"))</f>
        <v>0</v>
      </c>
      <c r="P46" s="30">
        <f>IF(OR($C46="",P$5=""),"",COUNTIFS(tblPresences[Étudiant],$C46,tblPresences[Code matière],P$5,tblPresences[Statut],"A"))</f>
        <v>0</v>
      </c>
      <c r="Q46" s="31">
        <f>IF(C46="","",SUM(E46:P46))</f>
        <v>0</v>
      </c>
      <c r="R46" s="30">
        <f>IF(C46="","",COUNTIFS(tblPresences[Étudiant],C46,tblPresences[Statut],"R"))</f>
        <v>0</v>
      </c>
      <c r="S46" s="124">
        <f>IF(C46="","",IFERROR((COUNTIFS(tblPresences[Étudiant],C46,tblPresences[Statut],"P")+COUNTIFS(tblPresences[Étudiant],C46,tblPresences[Statut],"R"))/COUNTIF(tblPresences[Étudiant],C46),""))</f>
        <v>0</v>
      </c>
      <c r="T46" s="30">
        <f>IF(C46="","",MAX(E46:P46))</f>
        <v>0</v>
      </c>
      <c r="U46" s="148">
        <f>IF(C46="","",IF(T46&gt;pSeuil,"⚠ ALERTE",""))</f>
        <v>0</v>
      </c>
    </row>
    <row r="47" spans="2:21">
      <c r="B47" s="145">
        <f>IF(C47="","",41)</f>
        <v>0</v>
      </c>
      <c r="C47" s="29">
        <f>IFERROR(INDEX(tblEtudiants[Nom et prénoms],41)&amp;"","")</f>
        <v>0</v>
      </c>
      <c r="D47" s="27">
        <f>IF(C47="","",INDEX(tblEtudiants[Groupe],41)&amp;"")</f>
        <v>0</v>
      </c>
      <c r="E47" s="27">
        <f>IF(OR($C47="",E$5=""),"",COUNTIFS(tblPresences[Étudiant],$C47,tblPresences[Code matière],E$5,tblPresences[Statut],"A"))</f>
        <v>0</v>
      </c>
      <c r="F47" s="27">
        <f>IF(OR($C47="",F$5=""),"",COUNTIFS(tblPresences[Étudiant],$C47,tblPresences[Code matière],F$5,tblPresences[Statut],"A"))</f>
        <v>0</v>
      </c>
      <c r="G47" s="27">
        <f>IF(OR($C47="",G$5=""),"",COUNTIFS(tblPresences[Étudiant],$C47,tblPresences[Code matière],G$5,tblPresences[Statut],"A"))</f>
        <v>0</v>
      </c>
      <c r="H47" s="27">
        <f>IF(OR($C47="",H$5=""),"",COUNTIFS(tblPresences[Étudiant],$C47,tblPresences[Code matière],H$5,tblPresences[Statut],"A"))</f>
        <v>0</v>
      </c>
      <c r="I47" s="27">
        <f>IF(OR($C47="",I$5=""),"",COUNTIFS(tblPresences[Étudiant],$C47,tblPresences[Code matière],I$5,tblPresences[Statut],"A"))</f>
        <v>0</v>
      </c>
      <c r="J47" s="27">
        <f>IF(OR($C47="",J$5=""),"",COUNTIFS(tblPresences[Étudiant],$C47,tblPresences[Code matière],J$5,tblPresences[Statut],"A"))</f>
        <v>0</v>
      </c>
      <c r="K47" s="27">
        <f>IF(OR($C47="",K$5=""),"",COUNTIFS(tblPresences[Étudiant],$C47,tblPresences[Code matière],K$5,tblPresences[Statut],"A"))</f>
        <v>0</v>
      </c>
      <c r="L47" s="27">
        <f>IF(OR($C47="",L$5=""),"",COUNTIFS(tblPresences[Étudiant],$C47,tblPresences[Code matière],L$5,tblPresences[Statut],"A"))</f>
        <v>0</v>
      </c>
      <c r="M47" s="27">
        <f>IF(OR($C47="",M$5=""),"",COUNTIFS(tblPresences[Étudiant],$C47,tblPresences[Code matière],M$5,tblPresences[Statut],"A"))</f>
        <v>0</v>
      </c>
      <c r="N47" s="27">
        <f>IF(OR($C47="",N$5=""),"",COUNTIFS(tblPresences[Étudiant],$C47,tblPresences[Code matière],N$5,tblPresences[Statut],"A"))</f>
        <v>0</v>
      </c>
      <c r="O47" s="27">
        <f>IF(OR($C47="",O$5=""),"",COUNTIFS(tblPresences[Étudiant],$C47,tblPresences[Code matière],O$5,tblPresences[Statut],"A"))</f>
        <v>0</v>
      </c>
      <c r="P47" s="27">
        <f>IF(OR($C47="",P$5=""),"",COUNTIFS(tblPresences[Étudiant],$C47,tblPresences[Code matière],P$5,tblPresences[Statut],"A"))</f>
        <v>0</v>
      </c>
      <c r="Q47" s="28">
        <f>IF(C47="","",SUM(E47:P47))</f>
        <v>0</v>
      </c>
      <c r="R47" s="27">
        <f>IF(C47="","",COUNTIFS(tblPresences[Étudiant],C47,tblPresences[Statut],"R"))</f>
        <v>0</v>
      </c>
      <c r="S47" s="123">
        <f>IF(C47="","",IFERROR((COUNTIFS(tblPresences[Étudiant],C47,tblPresences[Statut],"P")+COUNTIFS(tblPresences[Étudiant],C47,tblPresences[Statut],"R"))/COUNTIF(tblPresences[Étudiant],C47),""))</f>
        <v>0</v>
      </c>
      <c r="T47" s="27">
        <f>IF(C47="","",MAX(E47:P47))</f>
        <v>0</v>
      </c>
      <c r="U47" s="146">
        <f>IF(C47="","",IF(T47&gt;pSeuil,"⚠ ALERTE",""))</f>
        <v>0</v>
      </c>
    </row>
    <row r="48" spans="2:21">
      <c r="B48" s="147">
        <f>IF(C48="","",42)</f>
        <v>0</v>
      </c>
      <c r="C48" s="32">
        <f>IFERROR(INDEX(tblEtudiants[Nom et prénoms],42)&amp;"","")</f>
        <v>0</v>
      </c>
      <c r="D48" s="30">
        <f>IF(C48="","",INDEX(tblEtudiants[Groupe],42)&amp;"")</f>
        <v>0</v>
      </c>
      <c r="E48" s="30">
        <f>IF(OR($C48="",E$5=""),"",COUNTIFS(tblPresences[Étudiant],$C48,tblPresences[Code matière],E$5,tblPresences[Statut],"A"))</f>
        <v>0</v>
      </c>
      <c r="F48" s="30">
        <f>IF(OR($C48="",F$5=""),"",COUNTIFS(tblPresences[Étudiant],$C48,tblPresences[Code matière],F$5,tblPresences[Statut],"A"))</f>
        <v>0</v>
      </c>
      <c r="G48" s="30">
        <f>IF(OR($C48="",G$5=""),"",COUNTIFS(tblPresences[Étudiant],$C48,tblPresences[Code matière],G$5,tblPresences[Statut],"A"))</f>
        <v>0</v>
      </c>
      <c r="H48" s="30">
        <f>IF(OR($C48="",H$5=""),"",COUNTIFS(tblPresences[Étudiant],$C48,tblPresences[Code matière],H$5,tblPresences[Statut],"A"))</f>
        <v>0</v>
      </c>
      <c r="I48" s="30">
        <f>IF(OR($C48="",I$5=""),"",COUNTIFS(tblPresences[Étudiant],$C48,tblPresences[Code matière],I$5,tblPresences[Statut],"A"))</f>
        <v>0</v>
      </c>
      <c r="J48" s="30">
        <f>IF(OR($C48="",J$5=""),"",COUNTIFS(tblPresences[Étudiant],$C48,tblPresences[Code matière],J$5,tblPresences[Statut],"A"))</f>
        <v>0</v>
      </c>
      <c r="K48" s="30">
        <f>IF(OR($C48="",K$5=""),"",COUNTIFS(tblPresences[Étudiant],$C48,tblPresences[Code matière],K$5,tblPresences[Statut],"A"))</f>
        <v>0</v>
      </c>
      <c r="L48" s="30">
        <f>IF(OR($C48="",L$5=""),"",COUNTIFS(tblPresences[Étudiant],$C48,tblPresences[Code matière],L$5,tblPresences[Statut],"A"))</f>
        <v>0</v>
      </c>
      <c r="M48" s="30">
        <f>IF(OR($C48="",M$5=""),"",COUNTIFS(tblPresences[Étudiant],$C48,tblPresences[Code matière],M$5,tblPresences[Statut],"A"))</f>
        <v>0</v>
      </c>
      <c r="N48" s="30">
        <f>IF(OR($C48="",N$5=""),"",COUNTIFS(tblPresences[Étudiant],$C48,tblPresences[Code matière],N$5,tblPresences[Statut],"A"))</f>
        <v>0</v>
      </c>
      <c r="O48" s="30">
        <f>IF(OR($C48="",O$5=""),"",COUNTIFS(tblPresences[Étudiant],$C48,tblPresences[Code matière],O$5,tblPresences[Statut],"A"))</f>
        <v>0</v>
      </c>
      <c r="P48" s="30">
        <f>IF(OR($C48="",P$5=""),"",COUNTIFS(tblPresences[Étudiant],$C48,tblPresences[Code matière],P$5,tblPresences[Statut],"A"))</f>
        <v>0</v>
      </c>
      <c r="Q48" s="31">
        <f>IF(C48="","",SUM(E48:P48))</f>
        <v>0</v>
      </c>
      <c r="R48" s="30">
        <f>IF(C48="","",COUNTIFS(tblPresences[Étudiant],C48,tblPresences[Statut],"R"))</f>
        <v>0</v>
      </c>
      <c r="S48" s="124">
        <f>IF(C48="","",IFERROR((COUNTIFS(tblPresences[Étudiant],C48,tblPresences[Statut],"P")+COUNTIFS(tblPresences[Étudiant],C48,tblPresences[Statut],"R"))/COUNTIF(tblPresences[Étudiant],C48),""))</f>
        <v>0</v>
      </c>
      <c r="T48" s="30">
        <f>IF(C48="","",MAX(E48:P48))</f>
        <v>0</v>
      </c>
      <c r="U48" s="148">
        <f>IF(C48="","",IF(T48&gt;pSeuil,"⚠ ALERTE",""))</f>
        <v>0</v>
      </c>
    </row>
    <row r="49" spans="2:21">
      <c r="B49" s="145">
        <f>IF(C49="","",43)</f>
        <v>0</v>
      </c>
      <c r="C49" s="29">
        <f>IFERROR(INDEX(tblEtudiants[Nom et prénoms],43)&amp;"","")</f>
        <v>0</v>
      </c>
      <c r="D49" s="27">
        <f>IF(C49="","",INDEX(tblEtudiants[Groupe],43)&amp;"")</f>
        <v>0</v>
      </c>
      <c r="E49" s="27">
        <f>IF(OR($C49="",E$5=""),"",COUNTIFS(tblPresences[Étudiant],$C49,tblPresences[Code matière],E$5,tblPresences[Statut],"A"))</f>
        <v>0</v>
      </c>
      <c r="F49" s="27">
        <f>IF(OR($C49="",F$5=""),"",COUNTIFS(tblPresences[Étudiant],$C49,tblPresences[Code matière],F$5,tblPresences[Statut],"A"))</f>
        <v>0</v>
      </c>
      <c r="G49" s="27">
        <f>IF(OR($C49="",G$5=""),"",COUNTIFS(tblPresences[Étudiant],$C49,tblPresences[Code matière],G$5,tblPresences[Statut],"A"))</f>
        <v>0</v>
      </c>
      <c r="H49" s="27">
        <f>IF(OR($C49="",H$5=""),"",COUNTIFS(tblPresences[Étudiant],$C49,tblPresences[Code matière],H$5,tblPresences[Statut],"A"))</f>
        <v>0</v>
      </c>
      <c r="I49" s="27">
        <f>IF(OR($C49="",I$5=""),"",COUNTIFS(tblPresences[Étudiant],$C49,tblPresences[Code matière],I$5,tblPresences[Statut],"A"))</f>
        <v>0</v>
      </c>
      <c r="J49" s="27">
        <f>IF(OR($C49="",J$5=""),"",COUNTIFS(tblPresences[Étudiant],$C49,tblPresences[Code matière],J$5,tblPresences[Statut],"A"))</f>
        <v>0</v>
      </c>
      <c r="K49" s="27">
        <f>IF(OR($C49="",K$5=""),"",COUNTIFS(tblPresences[Étudiant],$C49,tblPresences[Code matière],K$5,tblPresences[Statut],"A"))</f>
        <v>0</v>
      </c>
      <c r="L49" s="27">
        <f>IF(OR($C49="",L$5=""),"",COUNTIFS(tblPresences[Étudiant],$C49,tblPresences[Code matière],L$5,tblPresences[Statut],"A"))</f>
        <v>0</v>
      </c>
      <c r="M49" s="27">
        <f>IF(OR($C49="",M$5=""),"",COUNTIFS(tblPresences[Étudiant],$C49,tblPresences[Code matière],M$5,tblPresences[Statut],"A"))</f>
        <v>0</v>
      </c>
      <c r="N49" s="27">
        <f>IF(OR($C49="",N$5=""),"",COUNTIFS(tblPresences[Étudiant],$C49,tblPresences[Code matière],N$5,tblPresences[Statut],"A"))</f>
        <v>0</v>
      </c>
      <c r="O49" s="27">
        <f>IF(OR($C49="",O$5=""),"",COUNTIFS(tblPresences[Étudiant],$C49,tblPresences[Code matière],O$5,tblPresences[Statut],"A"))</f>
        <v>0</v>
      </c>
      <c r="P49" s="27">
        <f>IF(OR($C49="",P$5=""),"",COUNTIFS(tblPresences[Étudiant],$C49,tblPresences[Code matière],P$5,tblPresences[Statut],"A"))</f>
        <v>0</v>
      </c>
      <c r="Q49" s="28">
        <f>IF(C49="","",SUM(E49:P49))</f>
        <v>0</v>
      </c>
      <c r="R49" s="27">
        <f>IF(C49="","",COUNTIFS(tblPresences[Étudiant],C49,tblPresences[Statut],"R"))</f>
        <v>0</v>
      </c>
      <c r="S49" s="123">
        <f>IF(C49="","",IFERROR((COUNTIFS(tblPresences[Étudiant],C49,tblPresences[Statut],"P")+COUNTIFS(tblPresences[Étudiant],C49,tblPresences[Statut],"R"))/COUNTIF(tblPresences[Étudiant],C49),""))</f>
        <v>0</v>
      </c>
      <c r="T49" s="27">
        <f>IF(C49="","",MAX(E49:P49))</f>
        <v>0</v>
      </c>
      <c r="U49" s="146">
        <f>IF(C49="","",IF(T49&gt;pSeuil,"⚠ ALERTE",""))</f>
        <v>0</v>
      </c>
    </row>
    <row r="50" spans="2:21">
      <c r="B50" s="147">
        <f>IF(C50="","",44)</f>
        <v>0</v>
      </c>
      <c r="C50" s="32">
        <f>IFERROR(INDEX(tblEtudiants[Nom et prénoms],44)&amp;"","")</f>
        <v>0</v>
      </c>
      <c r="D50" s="30">
        <f>IF(C50="","",INDEX(tblEtudiants[Groupe],44)&amp;"")</f>
        <v>0</v>
      </c>
      <c r="E50" s="30">
        <f>IF(OR($C50="",E$5=""),"",COUNTIFS(tblPresences[Étudiant],$C50,tblPresences[Code matière],E$5,tblPresences[Statut],"A"))</f>
        <v>0</v>
      </c>
      <c r="F50" s="30">
        <f>IF(OR($C50="",F$5=""),"",COUNTIFS(tblPresences[Étudiant],$C50,tblPresences[Code matière],F$5,tblPresences[Statut],"A"))</f>
        <v>0</v>
      </c>
      <c r="G50" s="30">
        <f>IF(OR($C50="",G$5=""),"",COUNTIFS(tblPresences[Étudiant],$C50,tblPresences[Code matière],G$5,tblPresences[Statut],"A"))</f>
        <v>0</v>
      </c>
      <c r="H50" s="30">
        <f>IF(OR($C50="",H$5=""),"",COUNTIFS(tblPresences[Étudiant],$C50,tblPresences[Code matière],H$5,tblPresences[Statut],"A"))</f>
        <v>0</v>
      </c>
      <c r="I50" s="30">
        <f>IF(OR($C50="",I$5=""),"",COUNTIFS(tblPresences[Étudiant],$C50,tblPresences[Code matière],I$5,tblPresences[Statut],"A"))</f>
        <v>0</v>
      </c>
      <c r="J50" s="30">
        <f>IF(OR($C50="",J$5=""),"",COUNTIFS(tblPresences[Étudiant],$C50,tblPresences[Code matière],J$5,tblPresences[Statut],"A"))</f>
        <v>0</v>
      </c>
      <c r="K50" s="30">
        <f>IF(OR($C50="",K$5=""),"",COUNTIFS(tblPresences[Étudiant],$C50,tblPresences[Code matière],K$5,tblPresences[Statut],"A"))</f>
        <v>0</v>
      </c>
      <c r="L50" s="30">
        <f>IF(OR($C50="",L$5=""),"",COUNTIFS(tblPresences[Étudiant],$C50,tblPresences[Code matière],L$5,tblPresences[Statut],"A"))</f>
        <v>0</v>
      </c>
      <c r="M50" s="30">
        <f>IF(OR($C50="",M$5=""),"",COUNTIFS(tblPresences[Étudiant],$C50,tblPresences[Code matière],M$5,tblPresences[Statut],"A"))</f>
        <v>0</v>
      </c>
      <c r="N50" s="30">
        <f>IF(OR($C50="",N$5=""),"",COUNTIFS(tblPresences[Étudiant],$C50,tblPresences[Code matière],N$5,tblPresences[Statut],"A"))</f>
        <v>0</v>
      </c>
      <c r="O50" s="30">
        <f>IF(OR($C50="",O$5=""),"",COUNTIFS(tblPresences[Étudiant],$C50,tblPresences[Code matière],O$5,tblPresences[Statut],"A"))</f>
        <v>0</v>
      </c>
      <c r="P50" s="30">
        <f>IF(OR($C50="",P$5=""),"",COUNTIFS(tblPresences[Étudiant],$C50,tblPresences[Code matière],P$5,tblPresences[Statut],"A"))</f>
        <v>0</v>
      </c>
      <c r="Q50" s="31">
        <f>IF(C50="","",SUM(E50:P50))</f>
        <v>0</v>
      </c>
      <c r="R50" s="30">
        <f>IF(C50="","",COUNTIFS(tblPresences[Étudiant],C50,tblPresences[Statut],"R"))</f>
        <v>0</v>
      </c>
      <c r="S50" s="124">
        <f>IF(C50="","",IFERROR((COUNTIFS(tblPresences[Étudiant],C50,tblPresences[Statut],"P")+COUNTIFS(tblPresences[Étudiant],C50,tblPresences[Statut],"R"))/COUNTIF(tblPresences[Étudiant],C50),""))</f>
        <v>0</v>
      </c>
      <c r="T50" s="30">
        <f>IF(C50="","",MAX(E50:P50))</f>
        <v>0</v>
      </c>
      <c r="U50" s="148">
        <f>IF(C50="","",IF(T50&gt;pSeuil,"⚠ ALERTE",""))</f>
        <v>0</v>
      </c>
    </row>
    <row r="51" spans="2:21">
      <c r="B51" s="145">
        <f>IF(C51="","",45)</f>
        <v>0</v>
      </c>
      <c r="C51" s="29">
        <f>IFERROR(INDEX(tblEtudiants[Nom et prénoms],45)&amp;"","")</f>
        <v>0</v>
      </c>
      <c r="D51" s="27">
        <f>IF(C51="","",INDEX(tblEtudiants[Groupe],45)&amp;"")</f>
        <v>0</v>
      </c>
      <c r="E51" s="27">
        <f>IF(OR($C51="",E$5=""),"",COUNTIFS(tblPresences[Étudiant],$C51,tblPresences[Code matière],E$5,tblPresences[Statut],"A"))</f>
        <v>0</v>
      </c>
      <c r="F51" s="27">
        <f>IF(OR($C51="",F$5=""),"",COUNTIFS(tblPresences[Étudiant],$C51,tblPresences[Code matière],F$5,tblPresences[Statut],"A"))</f>
        <v>0</v>
      </c>
      <c r="G51" s="27">
        <f>IF(OR($C51="",G$5=""),"",COUNTIFS(tblPresences[Étudiant],$C51,tblPresences[Code matière],G$5,tblPresences[Statut],"A"))</f>
        <v>0</v>
      </c>
      <c r="H51" s="27">
        <f>IF(OR($C51="",H$5=""),"",COUNTIFS(tblPresences[Étudiant],$C51,tblPresences[Code matière],H$5,tblPresences[Statut],"A"))</f>
        <v>0</v>
      </c>
      <c r="I51" s="27">
        <f>IF(OR($C51="",I$5=""),"",COUNTIFS(tblPresences[Étudiant],$C51,tblPresences[Code matière],I$5,tblPresences[Statut],"A"))</f>
        <v>0</v>
      </c>
      <c r="J51" s="27">
        <f>IF(OR($C51="",J$5=""),"",COUNTIFS(tblPresences[Étudiant],$C51,tblPresences[Code matière],J$5,tblPresences[Statut],"A"))</f>
        <v>0</v>
      </c>
      <c r="K51" s="27">
        <f>IF(OR($C51="",K$5=""),"",COUNTIFS(tblPresences[Étudiant],$C51,tblPresences[Code matière],K$5,tblPresences[Statut],"A"))</f>
        <v>0</v>
      </c>
      <c r="L51" s="27">
        <f>IF(OR($C51="",L$5=""),"",COUNTIFS(tblPresences[Étudiant],$C51,tblPresences[Code matière],L$5,tblPresences[Statut],"A"))</f>
        <v>0</v>
      </c>
      <c r="M51" s="27">
        <f>IF(OR($C51="",M$5=""),"",COUNTIFS(tblPresences[Étudiant],$C51,tblPresences[Code matière],M$5,tblPresences[Statut],"A"))</f>
        <v>0</v>
      </c>
      <c r="N51" s="27">
        <f>IF(OR($C51="",N$5=""),"",COUNTIFS(tblPresences[Étudiant],$C51,tblPresences[Code matière],N$5,tblPresences[Statut],"A"))</f>
        <v>0</v>
      </c>
      <c r="O51" s="27">
        <f>IF(OR($C51="",O$5=""),"",COUNTIFS(tblPresences[Étudiant],$C51,tblPresences[Code matière],O$5,tblPresences[Statut],"A"))</f>
        <v>0</v>
      </c>
      <c r="P51" s="27">
        <f>IF(OR($C51="",P$5=""),"",COUNTIFS(tblPresences[Étudiant],$C51,tblPresences[Code matière],P$5,tblPresences[Statut],"A"))</f>
        <v>0</v>
      </c>
      <c r="Q51" s="28">
        <f>IF(C51="","",SUM(E51:P51))</f>
        <v>0</v>
      </c>
      <c r="R51" s="27">
        <f>IF(C51="","",COUNTIFS(tblPresences[Étudiant],C51,tblPresences[Statut],"R"))</f>
        <v>0</v>
      </c>
      <c r="S51" s="123">
        <f>IF(C51="","",IFERROR((COUNTIFS(tblPresences[Étudiant],C51,tblPresences[Statut],"P")+COUNTIFS(tblPresences[Étudiant],C51,tblPresences[Statut],"R"))/COUNTIF(tblPresences[Étudiant],C51),""))</f>
        <v>0</v>
      </c>
      <c r="T51" s="27">
        <f>IF(C51="","",MAX(E51:P51))</f>
        <v>0</v>
      </c>
      <c r="U51" s="146">
        <f>IF(C51="","",IF(T51&gt;pSeuil,"⚠ ALERTE",""))</f>
        <v>0</v>
      </c>
    </row>
    <row r="52" spans="2:21">
      <c r="B52" s="147">
        <f>IF(C52="","",46)</f>
        <v>0</v>
      </c>
      <c r="C52" s="32">
        <f>IFERROR(INDEX(tblEtudiants[Nom et prénoms],46)&amp;"","")</f>
        <v>0</v>
      </c>
      <c r="D52" s="30">
        <f>IF(C52="","",INDEX(tblEtudiants[Groupe],46)&amp;"")</f>
        <v>0</v>
      </c>
      <c r="E52" s="30">
        <f>IF(OR($C52="",E$5=""),"",COUNTIFS(tblPresences[Étudiant],$C52,tblPresences[Code matière],E$5,tblPresences[Statut],"A"))</f>
        <v>0</v>
      </c>
      <c r="F52" s="30">
        <f>IF(OR($C52="",F$5=""),"",COUNTIFS(tblPresences[Étudiant],$C52,tblPresences[Code matière],F$5,tblPresences[Statut],"A"))</f>
        <v>0</v>
      </c>
      <c r="G52" s="30">
        <f>IF(OR($C52="",G$5=""),"",COUNTIFS(tblPresences[Étudiant],$C52,tblPresences[Code matière],G$5,tblPresences[Statut],"A"))</f>
        <v>0</v>
      </c>
      <c r="H52" s="30">
        <f>IF(OR($C52="",H$5=""),"",COUNTIFS(tblPresences[Étudiant],$C52,tblPresences[Code matière],H$5,tblPresences[Statut],"A"))</f>
        <v>0</v>
      </c>
      <c r="I52" s="30">
        <f>IF(OR($C52="",I$5=""),"",COUNTIFS(tblPresences[Étudiant],$C52,tblPresences[Code matière],I$5,tblPresences[Statut],"A"))</f>
        <v>0</v>
      </c>
      <c r="J52" s="30">
        <f>IF(OR($C52="",J$5=""),"",COUNTIFS(tblPresences[Étudiant],$C52,tblPresences[Code matière],J$5,tblPresences[Statut],"A"))</f>
        <v>0</v>
      </c>
      <c r="K52" s="30">
        <f>IF(OR($C52="",K$5=""),"",COUNTIFS(tblPresences[Étudiant],$C52,tblPresences[Code matière],K$5,tblPresences[Statut],"A"))</f>
        <v>0</v>
      </c>
      <c r="L52" s="30">
        <f>IF(OR($C52="",L$5=""),"",COUNTIFS(tblPresences[Étudiant],$C52,tblPresences[Code matière],L$5,tblPresences[Statut],"A"))</f>
        <v>0</v>
      </c>
      <c r="M52" s="30">
        <f>IF(OR($C52="",M$5=""),"",COUNTIFS(tblPresences[Étudiant],$C52,tblPresences[Code matière],M$5,tblPresences[Statut],"A"))</f>
        <v>0</v>
      </c>
      <c r="N52" s="30">
        <f>IF(OR($C52="",N$5=""),"",COUNTIFS(tblPresences[Étudiant],$C52,tblPresences[Code matière],N$5,tblPresences[Statut],"A"))</f>
        <v>0</v>
      </c>
      <c r="O52" s="30">
        <f>IF(OR($C52="",O$5=""),"",COUNTIFS(tblPresences[Étudiant],$C52,tblPresences[Code matière],O$5,tblPresences[Statut],"A"))</f>
        <v>0</v>
      </c>
      <c r="P52" s="30">
        <f>IF(OR($C52="",P$5=""),"",COUNTIFS(tblPresences[Étudiant],$C52,tblPresences[Code matière],P$5,tblPresences[Statut],"A"))</f>
        <v>0</v>
      </c>
      <c r="Q52" s="31">
        <f>IF(C52="","",SUM(E52:P52))</f>
        <v>0</v>
      </c>
      <c r="R52" s="30">
        <f>IF(C52="","",COUNTIFS(tblPresences[Étudiant],C52,tblPresences[Statut],"R"))</f>
        <v>0</v>
      </c>
      <c r="S52" s="124">
        <f>IF(C52="","",IFERROR((COUNTIFS(tblPresences[Étudiant],C52,tblPresences[Statut],"P")+COUNTIFS(tblPresences[Étudiant],C52,tblPresences[Statut],"R"))/COUNTIF(tblPresences[Étudiant],C52),""))</f>
        <v>0</v>
      </c>
      <c r="T52" s="30">
        <f>IF(C52="","",MAX(E52:P52))</f>
        <v>0</v>
      </c>
      <c r="U52" s="148">
        <f>IF(C52="","",IF(T52&gt;pSeuil,"⚠ ALERTE",""))</f>
        <v>0</v>
      </c>
    </row>
    <row r="53" spans="2:21">
      <c r="B53" s="145">
        <f>IF(C53="","",47)</f>
        <v>0</v>
      </c>
      <c r="C53" s="29">
        <f>IFERROR(INDEX(tblEtudiants[Nom et prénoms],47)&amp;"","")</f>
        <v>0</v>
      </c>
      <c r="D53" s="27">
        <f>IF(C53="","",INDEX(tblEtudiants[Groupe],47)&amp;"")</f>
        <v>0</v>
      </c>
      <c r="E53" s="27">
        <f>IF(OR($C53="",E$5=""),"",COUNTIFS(tblPresences[Étudiant],$C53,tblPresences[Code matière],E$5,tblPresences[Statut],"A"))</f>
        <v>0</v>
      </c>
      <c r="F53" s="27">
        <f>IF(OR($C53="",F$5=""),"",COUNTIFS(tblPresences[Étudiant],$C53,tblPresences[Code matière],F$5,tblPresences[Statut],"A"))</f>
        <v>0</v>
      </c>
      <c r="G53" s="27">
        <f>IF(OR($C53="",G$5=""),"",COUNTIFS(tblPresences[Étudiant],$C53,tblPresences[Code matière],G$5,tblPresences[Statut],"A"))</f>
        <v>0</v>
      </c>
      <c r="H53" s="27">
        <f>IF(OR($C53="",H$5=""),"",COUNTIFS(tblPresences[Étudiant],$C53,tblPresences[Code matière],H$5,tblPresences[Statut],"A"))</f>
        <v>0</v>
      </c>
      <c r="I53" s="27">
        <f>IF(OR($C53="",I$5=""),"",COUNTIFS(tblPresences[Étudiant],$C53,tblPresences[Code matière],I$5,tblPresences[Statut],"A"))</f>
        <v>0</v>
      </c>
      <c r="J53" s="27">
        <f>IF(OR($C53="",J$5=""),"",COUNTIFS(tblPresences[Étudiant],$C53,tblPresences[Code matière],J$5,tblPresences[Statut],"A"))</f>
        <v>0</v>
      </c>
      <c r="K53" s="27">
        <f>IF(OR($C53="",K$5=""),"",COUNTIFS(tblPresences[Étudiant],$C53,tblPresences[Code matière],K$5,tblPresences[Statut],"A"))</f>
        <v>0</v>
      </c>
      <c r="L53" s="27">
        <f>IF(OR($C53="",L$5=""),"",COUNTIFS(tblPresences[Étudiant],$C53,tblPresences[Code matière],L$5,tblPresences[Statut],"A"))</f>
        <v>0</v>
      </c>
      <c r="M53" s="27">
        <f>IF(OR($C53="",M$5=""),"",COUNTIFS(tblPresences[Étudiant],$C53,tblPresences[Code matière],M$5,tblPresences[Statut],"A"))</f>
        <v>0</v>
      </c>
      <c r="N53" s="27">
        <f>IF(OR($C53="",N$5=""),"",COUNTIFS(tblPresences[Étudiant],$C53,tblPresences[Code matière],N$5,tblPresences[Statut],"A"))</f>
        <v>0</v>
      </c>
      <c r="O53" s="27">
        <f>IF(OR($C53="",O$5=""),"",COUNTIFS(tblPresences[Étudiant],$C53,tblPresences[Code matière],O$5,tblPresences[Statut],"A"))</f>
        <v>0</v>
      </c>
      <c r="P53" s="27">
        <f>IF(OR($C53="",P$5=""),"",COUNTIFS(tblPresences[Étudiant],$C53,tblPresences[Code matière],P$5,tblPresences[Statut],"A"))</f>
        <v>0</v>
      </c>
      <c r="Q53" s="28">
        <f>IF(C53="","",SUM(E53:P53))</f>
        <v>0</v>
      </c>
      <c r="R53" s="27">
        <f>IF(C53="","",COUNTIFS(tblPresences[Étudiant],C53,tblPresences[Statut],"R"))</f>
        <v>0</v>
      </c>
      <c r="S53" s="123">
        <f>IF(C53="","",IFERROR((COUNTIFS(tblPresences[Étudiant],C53,tblPresences[Statut],"P")+COUNTIFS(tblPresences[Étudiant],C53,tblPresences[Statut],"R"))/COUNTIF(tblPresences[Étudiant],C53),""))</f>
        <v>0</v>
      </c>
      <c r="T53" s="27">
        <f>IF(C53="","",MAX(E53:P53))</f>
        <v>0</v>
      </c>
      <c r="U53" s="146">
        <f>IF(C53="","",IF(T53&gt;pSeuil,"⚠ ALERTE",""))</f>
        <v>0</v>
      </c>
    </row>
    <row r="54" spans="2:21">
      <c r="B54" s="147">
        <f>IF(C54="","",48)</f>
        <v>0</v>
      </c>
      <c r="C54" s="32">
        <f>IFERROR(INDEX(tblEtudiants[Nom et prénoms],48)&amp;"","")</f>
        <v>0</v>
      </c>
      <c r="D54" s="30">
        <f>IF(C54="","",INDEX(tblEtudiants[Groupe],48)&amp;"")</f>
        <v>0</v>
      </c>
      <c r="E54" s="30">
        <f>IF(OR($C54="",E$5=""),"",COUNTIFS(tblPresences[Étudiant],$C54,tblPresences[Code matière],E$5,tblPresences[Statut],"A"))</f>
        <v>0</v>
      </c>
      <c r="F54" s="30">
        <f>IF(OR($C54="",F$5=""),"",COUNTIFS(tblPresences[Étudiant],$C54,tblPresences[Code matière],F$5,tblPresences[Statut],"A"))</f>
        <v>0</v>
      </c>
      <c r="G54" s="30">
        <f>IF(OR($C54="",G$5=""),"",COUNTIFS(tblPresences[Étudiant],$C54,tblPresences[Code matière],G$5,tblPresences[Statut],"A"))</f>
        <v>0</v>
      </c>
      <c r="H54" s="30">
        <f>IF(OR($C54="",H$5=""),"",COUNTIFS(tblPresences[Étudiant],$C54,tblPresences[Code matière],H$5,tblPresences[Statut],"A"))</f>
        <v>0</v>
      </c>
      <c r="I54" s="30">
        <f>IF(OR($C54="",I$5=""),"",COUNTIFS(tblPresences[Étudiant],$C54,tblPresences[Code matière],I$5,tblPresences[Statut],"A"))</f>
        <v>0</v>
      </c>
      <c r="J54" s="30">
        <f>IF(OR($C54="",J$5=""),"",COUNTIFS(tblPresences[Étudiant],$C54,tblPresences[Code matière],J$5,tblPresences[Statut],"A"))</f>
        <v>0</v>
      </c>
      <c r="K54" s="30">
        <f>IF(OR($C54="",K$5=""),"",COUNTIFS(tblPresences[Étudiant],$C54,tblPresences[Code matière],K$5,tblPresences[Statut],"A"))</f>
        <v>0</v>
      </c>
      <c r="L54" s="30">
        <f>IF(OR($C54="",L$5=""),"",COUNTIFS(tblPresences[Étudiant],$C54,tblPresences[Code matière],L$5,tblPresences[Statut],"A"))</f>
        <v>0</v>
      </c>
      <c r="M54" s="30">
        <f>IF(OR($C54="",M$5=""),"",COUNTIFS(tblPresences[Étudiant],$C54,tblPresences[Code matière],M$5,tblPresences[Statut],"A"))</f>
        <v>0</v>
      </c>
      <c r="N54" s="30">
        <f>IF(OR($C54="",N$5=""),"",COUNTIFS(tblPresences[Étudiant],$C54,tblPresences[Code matière],N$5,tblPresences[Statut],"A"))</f>
        <v>0</v>
      </c>
      <c r="O54" s="30">
        <f>IF(OR($C54="",O$5=""),"",COUNTIFS(tblPresences[Étudiant],$C54,tblPresences[Code matière],O$5,tblPresences[Statut],"A"))</f>
        <v>0</v>
      </c>
      <c r="P54" s="30">
        <f>IF(OR($C54="",P$5=""),"",COUNTIFS(tblPresences[Étudiant],$C54,tblPresences[Code matière],P$5,tblPresences[Statut],"A"))</f>
        <v>0</v>
      </c>
      <c r="Q54" s="31">
        <f>IF(C54="","",SUM(E54:P54))</f>
        <v>0</v>
      </c>
      <c r="R54" s="30">
        <f>IF(C54="","",COUNTIFS(tblPresences[Étudiant],C54,tblPresences[Statut],"R"))</f>
        <v>0</v>
      </c>
      <c r="S54" s="124">
        <f>IF(C54="","",IFERROR((COUNTIFS(tblPresences[Étudiant],C54,tblPresences[Statut],"P")+COUNTIFS(tblPresences[Étudiant],C54,tblPresences[Statut],"R"))/COUNTIF(tblPresences[Étudiant],C54),""))</f>
        <v>0</v>
      </c>
      <c r="T54" s="30">
        <f>IF(C54="","",MAX(E54:P54))</f>
        <v>0</v>
      </c>
      <c r="U54" s="148">
        <f>IF(C54="","",IF(T54&gt;pSeuil,"⚠ ALERTE",""))</f>
        <v>0</v>
      </c>
    </row>
    <row r="55" spans="2:21">
      <c r="B55" s="145">
        <f>IF(C55="","",49)</f>
        <v>0</v>
      </c>
      <c r="C55" s="29">
        <f>IFERROR(INDEX(tblEtudiants[Nom et prénoms],49)&amp;"","")</f>
        <v>0</v>
      </c>
      <c r="D55" s="27">
        <f>IF(C55="","",INDEX(tblEtudiants[Groupe],49)&amp;"")</f>
        <v>0</v>
      </c>
      <c r="E55" s="27">
        <f>IF(OR($C55="",E$5=""),"",COUNTIFS(tblPresences[Étudiant],$C55,tblPresences[Code matière],E$5,tblPresences[Statut],"A"))</f>
        <v>0</v>
      </c>
      <c r="F55" s="27">
        <f>IF(OR($C55="",F$5=""),"",COUNTIFS(tblPresences[Étudiant],$C55,tblPresences[Code matière],F$5,tblPresences[Statut],"A"))</f>
        <v>0</v>
      </c>
      <c r="G55" s="27">
        <f>IF(OR($C55="",G$5=""),"",COUNTIFS(tblPresences[Étudiant],$C55,tblPresences[Code matière],G$5,tblPresences[Statut],"A"))</f>
        <v>0</v>
      </c>
      <c r="H55" s="27">
        <f>IF(OR($C55="",H$5=""),"",COUNTIFS(tblPresences[Étudiant],$C55,tblPresences[Code matière],H$5,tblPresences[Statut],"A"))</f>
        <v>0</v>
      </c>
      <c r="I55" s="27">
        <f>IF(OR($C55="",I$5=""),"",COUNTIFS(tblPresences[Étudiant],$C55,tblPresences[Code matière],I$5,tblPresences[Statut],"A"))</f>
        <v>0</v>
      </c>
      <c r="J55" s="27">
        <f>IF(OR($C55="",J$5=""),"",COUNTIFS(tblPresences[Étudiant],$C55,tblPresences[Code matière],J$5,tblPresences[Statut],"A"))</f>
        <v>0</v>
      </c>
      <c r="K55" s="27">
        <f>IF(OR($C55="",K$5=""),"",COUNTIFS(tblPresences[Étudiant],$C55,tblPresences[Code matière],K$5,tblPresences[Statut],"A"))</f>
        <v>0</v>
      </c>
      <c r="L55" s="27">
        <f>IF(OR($C55="",L$5=""),"",COUNTIFS(tblPresences[Étudiant],$C55,tblPresences[Code matière],L$5,tblPresences[Statut],"A"))</f>
        <v>0</v>
      </c>
      <c r="M55" s="27">
        <f>IF(OR($C55="",M$5=""),"",COUNTIFS(tblPresences[Étudiant],$C55,tblPresences[Code matière],M$5,tblPresences[Statut],"A"))</f>
        <v>0</v>
      </c>
      <c r="N55" s="27">
        <f>IF(OR($C55="",N$5=""),"",COUNTIFS(tblPresences[Étudiant],$C55,tblPresences[Code matière],N$5,tblPresences[Statut],"A"))</f>
        <v>0</v>
      </c>
      <c r="O55" s="27">
        <f>IF(OR($C55="",O$5=""),"",COUNTIFS(tblPresences[Étudiant],$C55,tblPresences[Code matière],O$5,tblPresences[Statut],"A"))</f>
        <v>0</v>
      </c>
      <c r="P55" s="27">
        <f>IF(OR($C55="",P$5=""),"",COUNTIFS(tblPresences[Étudiant],$C55,tblPresences[Code matière],P$5,tblPresences[Statut],"A"))</f>
        <v>0</v>
      </c>
      <c r="Q55" s="28">
        <f>IF(C55="","",SUM(E55:P55))</f>
        <v>0</v>
      </c>
      <c r="R55" s="27">
        <f>IF(C55="","",COUNTIFS(tblPresences[Étudiant],C55,tblPresences[Statut],"R"))</f>
        <v>0</v>
      </c>
      <c r="S55" s="123">
        <f>IF(C55="","",IFERROR((COUNTIFS(tblPresences[Étudiant],C55,tblPresences[Statut],"P")+COUNTIFS(tblPresences[Étudiant],C55,tblPresences[Statut],"R"))/COUNTIF(tblPresences[Étudiant],C55),""))</f>
        <v>0</v>
      </c>
      <c r="T55" s="27">
        <f>IF(C55="","",MAX(E55:P55))</f>
        <v>0</v>
      </c>
      <c r="U55" s="146">
        <f>IF(C55="","",IF(T55&gt;pSeuil,"⚠ ALERTE",""))</f>
        <v>0</v>
      </c>
    </row>
    <row r="56" spans="2:21">
      <c r="B56" s="147">
        <f>IF(C56="","",50)</f>
        <v>0</v>
      </c>
      <c r="C56" s="32">
        <f>IFERROR(INDEX(tblEtudiants[Nom et prénoms],50)&amp;"","")</f>
        <v>0</v>
      </c>
      <c r="D56" s="30">
        <f>IF(C56="","",INDEX(tblEtudiants[Groupe],50)&amp;"")</f>
        <v>0</v>
      </c>
      <c r="E56" s="30">
        <f>IF(OR($C56="",E$5=""),"",COUNTIFS(tblPresences[Étudiant],$C56,tblPresences[Code matière],E$5,tblPresences[Statut],"A"))</f>
        <v>0</v>
      </c>
      <c r="F56" s="30">
        <f>IF(OR($C56="",F$5=""),"",COUNTIFS(tblPresences[Étudiant],$C56,tblPresences[Code matière],F$5,tblPresences[Statut],"A"))</f>
        <v>0</v>
      </c>
      <c r="G56" s="30">
        <f>IF(OR($C56="",G$5=""),"",COUNTIFS(tblPresences[Étudiant],$C56,tblPresences[Code matière],G$5,tblPresences[Statut],"A"))</f>
        <v>0</v>
      </c>
      <c r="H56" s="30">
        <f>IF(OR($C56="",H$5=""),"",COUNTIFS(tblPresences[Étudiant],$C56,tblPresences[Code matière],H$5,tblPresences[Statut],"A"))</f>
        <v>0</v>
      </c>
      <c r="I56" s="30">
        <f>IF(OR($C56="",I$5=""),"",COUNTIFS(tblPresences[Étudiant],$C56,tblPresences[Code matière],I$5,tblPresences[Statut],"A"))</f>
        <v>0</v>
      </c>
      <c r="J56" s="30">
        <f>IF(OR($C56="",J$5=""),"",COUNTIFS(tblPresences[Étudiant],$C56,tblPresences[Code matière],J$5,tblPresences[Statut],"A"))</f>
        <v>0</v>
      </c>
      <c r="K56" s="30">
        <f>IF(OR($C56="",K$5=""),"",COUNTIFS(tblPresences[Étudiant],$C56,tblPresences[Code matière],K$5,tblPresences[Statut],"A"))</f>
        <v>0</v>
      </c>
      <c r="L56" s="30">
        <f>IF(OR($C56="",L$5=""),"",COUNTIFS(tblPresences[Étudiant],$C56,tblPresences[Code matière],L$5,tblPresences[Statut],"A"))</f>
        <v>0</v>
      </c>
      <c r="M56" s="30">
        <f>IF(OR($C56="",M$5=""),"",COUNTIFS(tblPresences[Étudiant],$C56,tblPresences[Code matière],M$5,tblPresences[Statut],"A"))</f>
        <v>0</v>
      </c>
      <c r="N56" s="30">
        <f>IF(OR($C56="",N$5=""),"",COUNTIFS(tblPresences[Étudiant],$C56,tblPresences[Code matière],N$5,tblPresences[Statut],"A"))</f>
        <v>0</v>
      </c>
      <c r="O56" s="30">
        <f>IF(OR($C56="",O$5=""),"",COUNTIFS(tblPresences[Étudiant],$C56,tblPresences[Code matière],O$5,tblPresences[Statut],"A"))</f>
        <v>0</v>
      </c>
      <c r="P56" s="30">
        <f>IF(OR($C56="",P$5=""),"",COUNTIFS(tblPresences[Étudiant],$C56,tblPresences[Code matière],P$5,tblPresences[Statut],"A"))</f>
        <v>0</v>
      </c>
      <c r="Q56" s="31">
        <f>IF(C56="","",SUM(E56:P56))</f>
        <v>0</v>
      </c>
      <c r="R56" s="30">
        <f>IF(C56="","",COUNTIFS(tblPresences[Étudiant],C56,tblPresences[Statut],"R"))</f>
        <v>0</v>
      </c>
      <c r="S56" s="124">
        <f>IF(C56="","",IFERROR((COUNTIFS(tblPresences[Étudiant],C56,tblPresences[Statut],"P")+COUNTIFS(tblPresences[Étudiant],C56,tblPresences[Statut],"R"))/COUNTIF(tblPresences[Étudiant],C56),""))</f>
        <v>0</v>
      </c>
      <c r="T56" s="30">
        <f>IF(C56="","",MAX(E56:P56))</f>
        <v>0</v>
      </c>
      <c r="U56" s="148">
        <f>IF(C56="","",IF(T56&gt;pSeuil,"⚠ ALERTE",""))</f>
        <v>0</v>
      </c>
    </row>
    <row r="57" spans="2:21">
      <c r="B57" s="145">
        <f>IF(C57="","",51)</f>
        <v>0</v>
      </c>
      <c r="C57" s="29">
        <f>IFERROR(INDEX(tblEtudiants[Nom et prénoms],51)&amp;"","")</f>
        <v>0</v>
      </c>
      <c r="D57" s="27">
        <f>IF(C57="","",INDEX(tblEtudiants[Groupe],51)&amp;"")</f>
        <v>0</v>
      </c>
      <c r="E57" s="27">
        <f>IF(OR($C57="",E$5=""),"",COUNTIFS(tblPresences[Étudiant],$C57,tblPresences[Code matière],E$5,tblPresences[Statut],"A"))</f>
        <v>0</v>
      </c>
      <c r="F57" s="27">
        <f>IF(OR($C57="",F$5=""),"",COUNTIFS(tblPresences[Étudiant],$C57,tblPresences[Code matière],F$5,tblPresences[Statut],"A"))</f>
        <v>0</v>
      </c>
      <c r="G57" s="27">
        <f>IF(OR($C57="",G$5=""),"",COUNTIFS(tblPresences[Étudiant],$C57,tblPresences[Code matière],G$5,tblPresences[Statut],"A"))</f>
        <v>0</v>
      </c>
      <c r="H57" s="27">
        <f>IF(OR($C57="",H$5=""),"",COUNTIFS(tblPresences[Étudiant],$C57,tblPresences[Code matière],H$5,tblPresences[Statut],"A"))</f>
        <v>0</v>
      </c>
      <c r="I57" s="27">
        <f>IF(OR($C57="",I$5=""),"",COUNTIFS(tblPresences[Étudiant],$C57,tblPresences[Code matière],I$5,tblPresences[Statut],"A"))</f>
        <v>0</v>
      </c>
      <c r="J57" s="27">
        <f>IF(OR($C57="",J$5=""),"",COUNTIFS(tblPresences[Étudiant],$C57,tblPresences[Code matière],J$5,tblPresences[Statut],"A"))</f>
        <v>0</v>
      </c>
      <c r="K57" s="27">
        <f>IF(OR($C57="",K$5=""),"",COUNTIFS(tblPresences[Étudiant],$C57,tblPresences[Code matière],K$5,tblPresences[Statut],"A"))</f>
        <v>0</v>
      </c>
      <c r="L57" s="27">
        <f>IF(OR($C57="",L$5=""),"",COUNTIFS(tblPresences[Étudiant],$C57,tblPresences[Code matière],L$5,tblPresences[Statut],"A"))</f>
        <v>0</v>
      </c>
      <c r="M57" s="27">
        <f>IF(OR($C57="",M$5=""),"",COUNTIFS(tblPresences[Étudiant],$C57,tblPresences[Code matière],M$5,tblPresences[Statut],"A"))</f>
        <v>0</v>
      </c>
      <c r="N57" s="27">
        <f>IF(OR($C57="",N$5=""),"",COUNTIFS(tblPresences[Étudiant],$C57,tblPresences[Code matière],N$5,tblPresences[Statut],"A"))</f>
        <v>0</v>
      </c>
      <c r="O57" s="27">
        <f>IF(OR($C57="",O$5=""),"",COUNTIFS(tblPresences[Étudiant],$C57,tblPresences[Code matière],O$5,tblPresences[Statut],"A"))</f>
        <v>0</v>
      </c>
      <c r="P57" s="27">
        <f>IF(OR($C57="",P$5=""),"",COUNTIFS(tblPresences[Étudiant],$C57,tblPresences[Code matière],P$5,tblPresences[Statut],"A"))</f>
        <v>0</v>
      </c>
      <c r="Q57" s="28">
        <f>IF(C57="","",SUM(E57:P57))</f>
        <v>0</v>
      </c>
      <c r="R57" s="27">
        <f>IF(C57="","",COUNTIFS(tblPresences[Étudiant],C57,tblPresences[Statut],"R"))</f>
        <v>0</v>
      </c>
      <c r="S57" s="123">
        <f>IF(C57="","",IFERROR((COUNTIFS(tblPresences[Étudiant],C57,tblPresences[Statut],"P")+COUNTIFS(tblPresences[Étudiant],C57,tblPresences[Statut],"R"))/COUNTIF(tblPresences[Étudiant],C57),""))</f>
        <v>0</v>
      </c>
      <c r="T57" s="27">
        <f>IF(C57="","",MAX(E57:P57))</f>
        <v>0</v>
      </c>
      <c r="U57" s="146">
        <f>IF(C57="","",IF(T57&gt;pSeuil,"⚠ ALERTE",""))</f>
        <v>0</v>
      </c>
    </row>
    <row r="58" spans="2:21">
      <c r="B58" s="147">
        <f>IF(C58="","",52)</f>
        <v>0</v>
      </c>
      <c r="C58" s="32">
        <f>IFERROR(INDEX(tblEtudiants[Nom et prénoms],52)&amp;"","")</f>
        <v>0</v>
      </c>
      <c r="D58" s="30">
        <f>IF(C58="","",INDEX(tblEtudiants[Groupe],52)&amp;"")</f>
        <v>0</v>
      </c>
      <c r="E58" s="30">
        <f>IF(OR($C58="",E$5=""),"",COUNTIFS(tblPresences[Étudiant],$C58,tblPresences[Code matière],E$5,tblPresences[Statut],"A"))</f>
        <v>0</v>
      </c>
      <c r="F58" s="30">
        <f>IF(OR($C58="",F$5=""),"",COUNTIFS(tblPresences[Étudiant],$C58,tblPresences[Code matière],F$5,tblPresences[Statut],"A"))</f>
        <v>0</v>
      </c>
      <c r="G58" s="30">
        <f>IF(OR($C58="",G$5=""),"",COUNTIFS(tblPresences[Étudiant],$C58,tblPresences[Code matière],G$5,tblPresences[Statut],"A"))</f>
        <v>0</v>
      </c>
      <c r="H58" s="30">
        <f>IF(OR($C58="",H$5=""),"",COUNTIFS(tblPresences[Étudiant],$C58,tblPresences[Code matière],H$5,tblPresences[Statut],"A"))</f>
        <v>0</v>
      </c>
      <c r="I58" s="30">
        <f>IF(OR($C58="",I$5=""),"",COUNTIFS(tblPresences[Étudiant],$C58,tblPresences[Code matière],I$5,tblPresences[Statut],"A"))</f>
        <v>0</v>
      </c>
      <c r="J58" s="30">
        <f>IF(OR($C58="",J$5=""),"",COUNTIFS(tblPresences[Étudiant],$C58,tblPresences[Code matière],J$5,tblPresences[Statut],"A"))</f>
        <v>0</v>
      </c>
      <c r="K58" s="30">
        <f>IF(OR($C58="",K$5=""),"",COUNTIFS(tblPresences[Étudiant],$C58,tblPresences[Code matière],K$5,tblPresences[Statut],"A"))</f>
        <v>0</v>
      </c>
      <c r="L58" s="30">
        <f>IF(OR($C58="",L$5=""),"",COUNTIFS(tblPresences[Étudiant],$C58,tblPresences[Code matière],L$5,tblPresences[Statut],"A"))</f>
        <v>0</v>
      </c>
      <c r="M58" s="30">
        <f>IF(OR($C58="",M$5=""),"",COUNTIFS(tblPresences[Étudiant],$C58,tblPresences[Code matière],M$5,tblPresences[Statut],"A"))</f>
        <v>0</v>
      </c>
      <c r="N58" s="30">
        <f>IF(OR($C58="",N$5=""),"",COUNTIFS(tblPresences[Étudiant],$C58,tblPresences[Code matière],N$5,tblPresences[Statut],"A"))</f>
        <v>0</v>
      </c>
      <c r="O58" s="30">
        <f>IF(OR($C58="",O$5=""),"",COUNTIFS(tblPresences[Étudiant],$C58,tblPresences[Code matière],O$5,tblPresences[Statut],"A"))</f>
        <v>0</v>
      </c>
      <c r="P58" s="30">
        <f>IF(OR($C58="",P$5=""),"",COUNTIFS(tblPresences[Étudiant],$C58,tblPresences[Code matière],P$5,tblPresences[Statut],"A"))</f>
        <v>0</v>
      </c>
      <c r="Q58" s="31">
        <f>IF(C58="","",SUM(E58:P58))</f>
        <v>0</v>
      </c>
      <c r="R58" s="30">
        <f>IF(C58="","",COUNTIFS(tblPresences[Étudiant],C58,tblPresences[Statut],"R"))</f>
        <v>0</v>
      </c>
      <c r="S58" s="124">
        <f>IF(C58="","",IFERROR((COUNTIFS(tblPresences[Étudiant],C58,tblPresences[Statut],"P")+COUNTIFS(tblPresences[Étudiant],C58,tblPresences[Statut],"R"))/COUNTIF(tblPresences[Étudiant],C58),""))</f>
        <v>0</v>
      </c>
      <c r="T58" s="30">
        <f>IF(C58="","",MAX(E58:P58))</f>
        <v>0</v>
      </c>
      <c r="U58" s="148">
        <f>IF(C58="","",IF(T58&gt;pSeuil,"⚠ ALERTE",""))</f>
        <v>0</v>
      </c>
    </row>
    <row r="59" spans="2:21">
      <c r="B59" s="145">
        <f>IF(C59="","",53)</f>
        <v>0</v>
      </c>
      <c r="C59" s="29">
        <f>IFERROR(INDEX(tblEtudiants[Nom et prénoms],53)&amp;"","")</f>
        <v>0</v>
      </c>
      <c r="D59" s="27">
        <f>IF(C59="","",INDEX(tblEtudiants[Groupe],53)&amp;"")</f>
        <v>0</v>
      </c>
      <c r="E59" s="27">
        <f>IF(OR($C59="",E$5=""),"",COUNTIFS(tblPresences[Étudiant],$C59,tblPresences[Code matière],E$5,tblPresences[Statut],"A"))</f>
        <v>0</v>
      </c>
      <c r="F59" s="27">
        <f>IF(OR($C59="",F$5=""),"",COUNTIFS(tblPresences[Étudiant],$C59,tblPresences[Code matière],F$5,tblPresences[Statut],"A"))</f>
        <v>0</v>
      </c>
      <c r="G59" s="27">
        <f>IF(OR($C59="",G$5=""),"",COUNTIFS(tblPresences[Étudiant],$C59,tblPresences[Code matière],G$5,tblPresences[Statut],"A"))</f>
        <v>0</v>
      </c>
      <c r="H59" s="27">
        <f>IF(OR($C59="",H$5=""),"",COUNTIFS(tblPresences[Étudiant],$C59,tblPresences[Code matière],H$5,tblPresences[Statut],"A"))</f>
        <v>0</v>
      </c>
      <c r="I59" s="27">
        <f>IF(OR($C59="",I$5=""),"",COUNTIFS(tblPresences[Étudiant],$C59,tblPresences[Code matière],I$5,tblPresences[Statut],"A"))</f>
        <v>0</v>
      </c>
      <c r="J59" s="27">
        <f>IF(OR($C59="",J$5=""),"",COUNTIFS(tblPresences[Étudiant],$C59,tblPresences[Code matière],J$5,tblPresences[Statut],"A"))</f>
        <v>0</v>
      </c>
      <c r="K59" s="27">
        <f>IF(OR($C59="",K$5=""),"",COUNTIFS(tblPresences[Étudiant],$C59,tblPresences[Code matière],K$5,tblPresences[Statut],"A"))</f>
        <v>0</v>
      </c>
      <c r="L59" s="27">
        <f>IF(OR($C59="",L$5=""),"",COUNTIFS(tblPresences[Étudiant],$C59,tblPresences[Code matière],L$5,tblPresences[Statut],"A"))</f>
        <v>0</v>
      </c>
      <c r="M59" s="27">
        <f>IF(OR($C59="",M$5=""),"",COUNTIFS(tblPresences[Étudiant],$C59,tblPresences[Code matière],M$5,tblPresences[Statut],"A"))</f>
        <v>0</v>
      </c>
      <c r="N59" s="27">
        <f>IF(OR($C59="",N$5=""),"",COUNTIFS(tblPresences[Étudiant],$C59,tblPresences[Code matière],N$5,tblPresences[Statut],"A"))</f>
        <v>0</v>
      </c>
      <c r="O59" s="27">
        <f>IF(OR($C59="",O$5=""),"",COUNTIFS(tblPresences[Étudiant],$C59,tblPresences[Code matière],O$5,tblPresences[Statut],"A"))</f>
        <v>0</v>
      </c>
      <c r="P59" s="27">
        <f>IF(OR($C59="",P$5=""),"",COUNTIFS(tblPresences[Étudiant],$C59,tblPresences[Code matière],P$5,tblPresences[Statut],"A"))</f>
        <v>0</v>
      </c>
      <c r="Q59" s="28">
        <f>IF(C59="","",SUM(E59:P59))</f>
        <v>0</v>
      </c>
      <c r="R59" s="27">
        <f>IF(C59="","",COUNTIFS(tblPresences[Étudiant],C59,tblPresences[Statut],"R"))</f>
        <v>0</v>
      </c>
      <c r="S59" s="123">
        <f>IF(C59="","",IFERROR((COUNTIFS(tblPresences[Étudiant],C59,tblPresences[Statut],"P")+COUNTIFS(tblPresences[Étudiant],C59,tblPresences[Statut],"R"))/COUNTIF(tblPresences[Étudiant],C59),""))</f>
        <v>0</v>
      </c>
      <c r="T59" s="27">
        <f>IF(C59="","",MAX(E59:P59))</f>
        <v>0</v>
      </c>
      <c r="U59" s="146">
        <f>IF(C59="","",IF(T59&gt;pSeuil,"⚠ ALERTE",""))</f>
        <v>0</v>
      </c>
    </row>
    <row r="60" spans="2:21">
      <c r="B60" s="147">
        <f>IF(C60="","",54)</f>
        <v>0</v>
      </c>
      <c r="C60" s="32">
        <f>IFERROR(INDEX(tblEtudiants[Nom et prénoms],54)&amp;"","")</f>
        <v>0</v>
      </c>
      <c r="D60" s="30">
        <f>IF(C60="","",INDEX(tblEtudiants[Groupe],54)&amp;"")</f>
        <v>0</v>
      </c>
      <c r="E60" s="30">
        <f>IF(OR($C60="",E$5=""),"",COUNTIFS(tblPresences[Étudiant],$C60,tblPresences[Code matière],E$5,tblPresences[Statut],"A"))</f>
        <v>0</v>
      </c>
      <c r="F60" s="30">
        <f>IF(OR($C60="",F$5=""),"",COUNTIFS(tblPresences[Étudiant],$C60,tblPresences[Code matière],F$5,tblPresences[Statut],"A"))</f>
        <v>0</v>
      </c>
      <c r="G60" s="30">
        <f>IF(OR($C60="",G$5=""),"",COUNTIFS(tblPresences[Étudiant],$C60,tblPresences[Code matière],G$5,tblPresences[Statut],"A"))</f>
        <v>0</v>
      </c>
      <c r="H60" s="30">
        <f>IF(OR($C60="",H$5=""),"",COUNTIFS(tblPresences[Étudiant],$C60,tblPresences[Code matière],H$5,tblPresences[Statut],"A"))</f>
        <v>0</v>
      </c>
      <c r="I60" s="30">
        <f>IF(OR($C60="",I$5=""),"",COUNTIFS(tblPresences[Étudiant],$C60,tblPresences[Code matière],I$5,tblPresences[Statut],"A"))</f>
        <v>0</v>
      </c>
      <c r="J60" s="30">
        <f>IF(OR($C60="",J$5=""),"",COUNTIFS(tblPresences[Étudiant],$C60,tblPresences[Code matière],J$5,tblPresences[Statut],"A"))</f>
        <v>0</v>
      </c>
      <c r="K60" s="30">
        <f>IF(OR($C60="",K$5=""),"",COUNTIFS(tblPresences[Étudiant],$C60,tblPresences[Code matière],K$5,tblPresences[Statut],"A"))</f>
        <v>0</v>
      </c>
      <c r="L60" s="30">
        <f>IF(OR($C60="",L$5=""),"",COUNTIFS(tblPresences[Étudiant],$C60,tblPresences[Code matière],L$5,tblPresences[Statut],"A"))</f>
        <v>0</v>
      </c>
      <c r="M60" s="30">
        <f>IF(OR($C60="",M$5=""),"",COUNTIFS(tblPresences[Étudiant],$C60,tblPresences[Code matière],M$5,tblPresences[Statut],"A"))</f>
        <v>0</v>
      </c>
      <c r="N60" s="30">
        <f>IF(OR($C60="",N$5=""),"",COUNTIFS(tblPresences[Étudiant],$C60,tblPresences[Code matière],N$5,tblPresences[Statut],"A"))</f>
        <v>0</v>
      </c>
      <c r="O60" s="30">
        <f>IF(OR($C60="",O$5=""),"",COUNTIFS(tblPresences[Étudiant],$C60,tblPresences[Code matière],O$5,tblPresences[Statut],"A"))</f>
        <v>0</v>
      </c>
      <c r="P60" s="30">
        <f>IF(OR($C60="",P$5=""),"",COUNTIFS(tblPresences[Étudiant],$C60,tblPresences[Code matière],P$5,tblPresences[Statut],"A"))</f>
        <v>0</v>
      </c>
      <c r="Q60" s="31">
        <f>IF(C60="","",SUM(E60:P60))</f>
        <v>0</v>
      </c>
      <c r="R60" s="30">
        <f>IF(C60="","",COUNTIFS(tblPresences[Étudiant],C60,tblPresences[Statut],"R"))</f>
        <v>0</v>
      </c>
      <c r="S60" s="124">
        <f>IF(C60="","",IFERROR((COUNTIFS(tblPresences[Étudiant],C60,tblPresences[Statut],"P")+COUNTIFS(tblPresences[Étudiant],C60,tblPresences[Statut],"R"))/COUNTIF(tblPresences[Étudiant],C60),""))</f>
        <v>0</v>
      </c>
      <c r="T60" s="30">
        <f>IF(C60="","",MAX(E60:P60))</f>
        <v>0</v>
      </c>
      <c r="U60" s="148">
        <f>IF(C60="","",IF(T60&gt;pSeuil,"⚠ ALERTE",""))</f>
        <v>0</v>
      </c>
    </row>
    <row r="61" spans="2:21">
      <c r="B61" s="145">
        <f>IF(C61="","",55)</f>
        <v>0</v>
      </c>
      <c r="C61" s="29">
        <f>IFERROR(INDEX(tblEtudiants[Nom et prénoms],55)&amp;"","")</f>
        <v>0</v>
      </c>
      <c r="D61" s="27">
        <f>IF(C61="","",INDEX(tblEtudiants[Groupe],55)&amp;"")</f>
        <v>0</v>
      </c>
      <c r="E61" s="27">
        <f>IF(OR($C61="",E$5=""),"",COUNTIFS(tblPresences[Étudiant],$C61,tblPresences[Code matière],E$5,tblPresences[Statut],"A"))</f>
        <v>0</v>
      </c>
      <c r="F61" s="27">
        <f>IF(OR($C61="",F$5=""),"",COUNTIFS(tblPresences[Étudiant],$C61,tblPresences[Code matière],F$5,tblPresences[Statut],"A"))</f>
        <v>0</v>
      </c>
      <c r="G61" s="27">
        <f>IF(OR($C61="",G$5=""),"",COUNTIFS(tblPresences[Étudiant],$C61,tblPresences[Code matière],G$5,tblPresences[Statut],"A"))</f>
        <v>0</v>
      </c>
      <c r="H61" s="27">
        <f>IF(OR($C61="",H$5=""),"",COUNTIFS(tblPresences[Étudiant],$C61,tblPresences[Code matière],H$5,tblPresences[Statut],"A"))</f>
        <v>0</v>
      </c>
      <c r="I61" s="27">
        <f>IF(OR($C61="",I$5=""),"",COUNTIFS(tblPresences[Étudiant],$C61,tblPresences[Code matière],I$5,tblPresences[Statut],"A"))</f>
        <v>0</v>
      </c>
      <c r="J61" s="27">
        <f>IF(OR($C61="",J$5=""),"",COUNTIFS(tblPresences[Étudiant],$C61,tblPresences[Code matière],J$5,tblPresences[Statut],"A"))</f>
        <v>0</v>
      </c>
      <c r="K61" s="27">
        <f>IF(OR($C61="",K$5=""),"",COUNTIFS(tblPresences[Étudiant],$C61,tblPresences[Code matière],K$5,tblPresences[Statut],"A"))</f>
        <v>0</v>
      </c>
      <c r="L61" s="27">
        <f>IF(OR($C61="",L$5=""),"",COUNTIFS(tblPresences[Étudiant],$C61,tblPresences[Code matière],L$5,tblPresences[Statut],"A"))</f>
        <v>0</v>
      </c>
      <c r="M61" s="27">
        <f>IF(OR($C61="",M$5=""),"",COUNTIFS(tblPresences[Étudiant],$C61,tblPresences[Code matière],M$5,tblPresences[Statut],"A"))</f>
        <v>0</v>
      </c>
      <c r="N61" s="27">
        <f>IF(OR($C61="",N$5=""),"",COUNTIFS(tblPresences[Étudiant],$C61,tblPresences[Code matière],N$5,tblPresences[Statut],"A"))</f>
        <v>0</v>
      </c>
      <c r="O61" s="27">
        <f>IF(OR($C61="",O$5=""),"",COUNTIFS(tblPresences[Étudiant],$C61,tblPresences[Code matière],O$5,tblPresences[Statut],"A"))</f>
        <v>0</v>
      </c>
      <c r="P61" s="27">
        <f>IF(OR($C61="",P$5=""),"",COUNTIFS(tblPresences[Étudiant],$C61,tblPresences[Code matière],P$5,tblPresences[Statut],"A"))</f>
        <v>0</v>
      </c>
      <c r="Q61" s="28">
        <f>IF(C61="","",SUM(E61:P61))</f>
        <v>0</v>
      </c>
      <c r="R61" s="27">
        <f>IF(C61="","",COUNTIFS(tblPresences[Étudiant],C61,tblPresences[Statut],"R"))</f>
        <v>0</v>
      </c>
      <c r="S61" s="123">
        <f>IF(C61="","",IFERROR((COUNTIFS(tblPresences[Étudiant],C61,tblPresences[Statut],"P")+COUNTIFS(tblPresences[Étudiant],C61,tblPresences[Statut],"R"))/COUNTIF(tblPresences[Étudiant],C61),""))</f>
        <v>0</v>
      </c>
      <c r="T61" s="27">
        <f>IF(C61="","",MAX(E61:P61))</f>
        <v>0</v>
      </c>
      <c r="U61" s="146">
        <f>IF(C61="","",IF(T61&gt;pSeuil,"⚠ ALERTE",""))</f>
        <v>0</v>
      </c>
    </row>
    <row r="62" spans="2:21">
      <c r="B62" s="147">
        <f>IF(C62="","",56)</f>
        <v>0</v>
      </c>
      <c r="C62" s="32">
        <f>IFERROR(INDEX(tblEtudiants[Nom et prénoms],56)&amp;"","")</f>
        <v>0</v>
      </c>
      <c r="D62" s="30">
        <f>IF(C62="","",INDEX(tblEtudiants[Groupe],56)&amp;"")</f>
        <v>0</v>
      </c>
      <c r="E62" s="30">
        <f>IF(OR($C62="",E$5=""),"",COUNTIFS(tblPresences[Étudiant],$C62,tblPresences[Code matière],E$5,tblPresences[Statut],"A"))</f>
        <v>0</v>
      </c>
      <c r="F62" s="30">
        <f>IF(OR($C62="",F$5=""),"",COUNTIFS(tblPresences[Étudiant],$C62,tblPresences[Code matière],F$5,tblPresences[Statut],"A"))</f>
        <v>0</v>
      </c>
      <c r="G62" s="30">
        <f>IF(OR($C62="",G$5=""),"",COUNTIFS(tblPresences[Étudiant],$C62,tblPresences[Code matière],G$5,tblPresences[Statut],"A"))</f>
        <v>0</v>
      </c>
      <c r="H62" s="30">
        <f>IF(OR($C62="",H$5=""),"",COUNTIFS(tblPresences[Étudiant],$C62,tblPresences[Code matière],H$5,tblPresences[Statut],"A"))</f>
        <v>0</v>
      </c>
      <c r="I62" s="30">
        <f>IF(OR($C62="",I$5=""),"",COUNTIFS(tblPresences[Étudiant],$C62,tblPresences[Code matière],I$5,tblPresences[Statut],"A"))</f>
        <v>0</v>
      </c>
      <c r="J62" s="30">
        <f>IF(OR($C62="",J$5=""),"",COUNTIFS(tblPresences[Étudiant],$C62,tblPresences[Code matière],J$5,tblPresences[Statut],"A"))</f>
        <v>0</v>
      </c>
      <c r="K62" s="30">
        <f>IF(OR($C62="",K$5=""),"",COUNTIFS(tblPresences[Étudiant],$C62,tblPresences[Code matière],K$5,tblPresences[Statut],"A"))</f>
        <v>0</v>
      </c>
      <c r="L62" s="30">
        <f>IF(OR($C62="",L$5=""),"",COUNTIFS(tblPresences[Étudiant],$C62,tblPresences[Code matière],L$5,tblPresences[Statut],"A"))</f>
        <v>0</v>
      </c>
      <c r="M62" s="30">
        <f>IF(OR($C62="",M$5=""),"",COUNTIFS(tblPresences[Étudiant],$C62,tblPresences[Code matière],M$5,tblPresences[Statut],"A"))</f>
        <v>0</v>
      </c>
      <c r="N62" s="30">
        <f>IF(OR($C62="",N$5=""),"",COUNTIFS(tblPresences[Étudiant],$C62,tblPresences[Code matière],N$5,tblPresences[Statut],"A"))</f>
        <v>0</v>
      </c>
      <c r="O62" s="30">
        <f>IF(OR($C62="",O$5=""),"",COUNTIFS(tblPresences[Étudiant],$C62,tblPresences[Code matière],O$5,tblPresences[Statut],"A"))</f>
        <v>0</v>
      </c>
      <c r="P62" s="30">
        <f>IF(OR($C62="",P$5=""),"",COUNTIFS(tblPresences[Étudiant],$C62,tblPresences[Code matière],P$5,tblPresences[Statut],"A"))</f>
        <v>0</v>
      </c>
      <c r="Q62" s="31">
        <f>IF(C62="","",SUM(E62:P62))</f>
        <v>0</v>
      </c>
      <c r="R62" s="30">
        <f>IF(C62="","",COUNTIFS(tblPresences[Étudiant],C62,tblPresences[Statut],"R"))</f>
        <v>0</v>
      </c>
      <c r="S62" s="124">
        <f>IF(C62="","",IFERROR((COUNTIFS(tblPresences[Étudiant],C62,tblPresences[Statut],"P")+COUNTIFS(tblPresences[Étudiant],C62,tblPresences[Statut],"R"))/COUNTIF(tblPresences[Étudiant],C62),""))</f>
        <v>0</v>
      </c>
      <c r="T62" s="30">
        <f>IF(C62="","",MAX(E62:P62))</f>
        <v>0</v>
      </c>
      <c r="U62" s="148">
        <f>IF(C62="","",IF(T62&gt;pSeuil,"⚠ ALERTE",""))</f>
        <v>0</v>
      </c>
    </row>
    <row r="63" spans="2:21">
      <c r="B63" s="145">
        <f>IF(C63="","",57)</f>
        <v>0</v>
      </c>
      <c r="C63" s="29">
        <f>IFERROR(INDEX(tblEtudiants[Nom et prénoms],57)&amp;"","")</f>
        <v>0</v>
      </c>
      <c r="D63" s="27">
        <f>IF(C63="","",INDEX(tblEtudiants[Groupe],57)&amp;"")</f>
        <v>0</v>
      </c>
      <c r="E63" s="27">
        <f>IF(OR($C63="",E$5=""),"",COUNTIFS(tblPresences[Étudiant],$C63,tblPresences[Code matière],E$5,tblPresences[Statut],"A"))</f>
        <v>0</v>
      </c>
      <c r="F63" s="27">
        <f>IF(OR($C63="",F$5=""),"",COUNTIFS(tblPresences[Étudiant],$C63,tblPresences[Code matière],F$5,tblPresences[Statut],"A"))</f>
        <v>0</v>
      </c>
      <c r="G63" s="27">
        <f>IF(OR($C63="",G$5=""),"",COUNTIFS(tblPresences[Étudiant],$C63,tblPresences[Code matière],G$5,tblPresences[Statut],"A"))</f>
        <v>0</v>
      </c>
      <c r="H63" s="27">
        <f>IF(OR($C63="",H$5=""),"",COUNTIFS(tblPresences[Étudiant],$C63,tblPresences[Code matière],H$5,tblPresences[Statut],"A"))</f>
        <v>0</v>
      </c>
      <c r="I63" s="27">
        <f>IF(OR($C63="",I$5=""),"",COUNTIFS(tblPresences[Étudiant],$C63,tblPresences[Code matière],I$5,tblPresences[Statut],"A"))</f>
        <v>0</v>
      </c>
      <c r="J63" s="27">
        <f>IF(OR($C63="",J$5=""),"",COUNTIFS(tblPresences[Étudiant],$C63,tblPresences[Code matière],J$5,tblPresences[Statut],"A"))</f>
        <v>0</v>
      </c>
      <c r="K63" s="27">
        <f>IF(OR($C63="",K$5=""),"",COUNTIFS(tblPresences[Étudiant],$C63,tblPresences[Code matière],K$5,tblPresences[Statut],"A"))</f>
        <v>0</v>
      </c>
      <c r="L63" s="27">
        <f>IF(OR($C63="",L$5=""),"",COUNTIFS(tblPresences[Étudiant],$C63,tblPresences[Code matière],L$5,tblPresences[Statut],"A"))</f>
        <v>0</v>
      </c>
      <c r="M63" s="27">
        <f>IF(OR($C63="",M$5=""),"",COUNTIFS(tblPresences[Étudiant],$C63,tblPresences[Code matière],M$5,tblPresences[Statut],"A"))</f>
        <v>0</v>
      </c>
      <c r="N63" s="27">
        <f>IF(OR($C63="",N$5=""),"",COUNTIFS(tblPresences[Étudiant],$C63,tblPresences[Code matière],N$5,tblPresences[Statut],"A"))</f>
        <v>0</v>
      </c>
      <c r="O63" s="27">
        <f>IF(OR($C63="",O$5=""),"",COUNTIFS(tblPresences[Étudiant],$C63,tblPresences[Code matière],O$5,tblPresences[Statut],"A"))</f>
        <v>0</v>
      </c>
      <c r="P63" s="27">
        <f>IF(OR($C63="",P$5=""),"",COUNTIFS(tblPresences[Étudiant],$C63,tblPresences[Code matière],P$5,tblPresences[Statut],"A"))</f>
        <v>0</v>
      </c>
      <c r="Q63" s="28">
        <f>IF(C63="","",SUM(E63:P63))</f>
        <v>0</v>
      </c>
      <c r="R63" s="27">
        <f>IF(C63="","",COUNTIFS(tblPresences[Étudiant],C63,tblPresences[Statut],"R"))</f>
        <v>0</v>
      </c>
      <c r="S63" s="123">
        <f>IF(C63="","",IFERROR((COUNTIFS(tblPresences[Étudiant],C63,tblPresences[Statut],"P")+COUNTIFS(tblPresences[Étudiant],C63,tblPresences[Statut],"R"))/COUNTIF(tblPresences[Étudiant],C63),""))</f>
        <v>0</v>
      </c>
      <c r="T63" s="27">
        <f>IF(C63="","",MAX(E63:P63))</f>
        <v>0</v>
      </c>
      <c r="U63" s="146">
        <f>IF(C63="","",IF(T63&gt;pSeuil,"⚠ ALERTE",""))</f>
        <v>0</v>
      </c>
    </row>
    <row r="64" spans="2:21">
      <c r="B64" s="147">
        <f>IF(C64="","",58)</f>
        <v>0</v>
      </c>
      <c r="C64" s="32">
        <f>IFERROR(INDEX(tblEtudiants[Nom et prénoms],58)&amp;"","")</f>
        <v>0</v>
      </c>
      <c r="D64" s="30">
        <f>IF(C64="","",INDEX(tblEtudiants[Groupe],58)&amp;"")</f>
        <v>0</v>
      </c>
      <c r="E64" s="30">
        <f>IF(OR($C64="",E$5=""),"",COUNTIFS(tblPresences[Étudiant],$C64,tblPresences[Code matière],E$5,tblPresences[Statut],"A"))</f>
        <v>0</v>
      </c>
      <c r="F64" s="30">
        <f>IF(OR($C64="",F$5=""),"",COUNTIFS(tblPresences[Étudiant],$C64,tblPresences[Code matière],F$5,tblPresences[Statut],"A"))</f>
        <v>0</v>
      </c>
      <c r="G64" s="30">
        <f>IF(OR($C64="",G$5=""),"",COUNTIFS(tblPresences[Étudiant],$C64,tblPresences[Code matière],G$5,tblPresences[Statut],"A"))</f>
        <v>0</v>
      </c>
      <c r="H64" s="30">
        <f>IF(OR($C64="",H$5=""),"",COUNTIFS(tblPresences[Étudiant],$C64,tblPresences[Code matière],H$5,tblPresences[Statut],"A"))</f>
        <v>0</v>
      </c>
      <c r="I64" s="30">
        <f>IF(OR($C64="",I$5=""),"",COUNTIFS(tblPresences[Étudiant],$C64,tblPresences[Code matière],I$5,tblPresences[Statut],"A"))</f>
        <v>0</v>
      </c>
      <c r="J64" s="30">
        <f>IF(OR($C64="",J$5=""),"",COUNTIFS(tblPresences[Étudiant],$C64,tblPresences[Code matière],J$5,tblPresences[Statut],"A"))</f>
        <v>0</v>
      </c>
      <c r="K64" s="30">
        <f>IF(OR($C64="",K$5=""),"",COUNTIFS(tblPresences[Étudiant],$C64,tblPresences[Code matière],K$5,tblPresences[Statut],"A"))</f>
        <v>0</v>
      </c>
      <c r="L64" s="30">
        <f>IF(OR($C64="",L$5=""),"",COUNTIFS(tblPresences[Étudiant],$C64,tblPresences[Code matière],L$5,tblPresences[Statut],"A"))</f>
        <v>0</v>
      </c>
      <c r="M64" s="30">
        <f>IF(OR($C64="",M$5=""),"",COUNTIFS(tblPresences[Étudiant],$C64,tblPresences[Code matière],M$5,tblPresences[Statut],"A"))</f>
        <v>0</v>
      </c>
      <c r="N64" s="30">
        <f>IF(OR($C64="",N$5=""),"",COUNTIFS(tblPresences[Étudiant],$C64,tblPresences[Code matière],N$5,tblPresences[Statut],"A"))</f>
        <v>0</v>
      </c>
      <c r="O64" s="30">
        <f>IF(OR($C64="",O$5=""),"",COUNTIFS(tblPresences[Étudiant],$C64,tblPresences[Code matière],O$5,tblPresences[Statut],"A"))</f>
        <v>0</v>
      </c>
      <c r="P64" s="30">
        <f>IF(OR($C64="",P$5=""),"",COUNTIFS(tblPresences[Étudiant],$C64,tblPresences[Code matière],P$5,tblPresences[Statut],"A"))</f>
        <v>0</v>
      </c>
      <c r="Q64" s="31">
        <f>IF(C64="","",SUM(E64:P64))</f>
        <v>0</v>
      </c>
      <c r="R64" s="30">
        <f>IF(C64="","",COUNTIFS(tblPresences[Étudiant],C64,tblPresences[Statut],"R"))</f>
        <v>0</v>
      </c>
      <c r="S64" s="124">
        <f>IF(C64="","",IFERROR((COUNTIFS(tblPresences[Étudiant],C64,tblPresences[Statut],"P")+COUNTIFS(tblPresences[Étudiant],C64,tblPresences[Statut],"R"))/COUNTIF(tblPresences[Étudiant],C64),""))</f>
        <v>0</v>
      </c>
      <c r="T64" s="30">
        <f>IF(C64="","",MAX(E64:P64))</f>
        <v>0</v>
      </c>
      <c r="U64" s="148">
        <f>IF(C64="","",IF(T64&gt;pSeuil,"⚠ ALERTE",""))</f>
        <v>0</v>
      </c>
    </row>
    <row r="65" spans="2:21">
      <c r="B65" s="145">
        <f>IF(C65="","",59)</f>
        <v>0</v>
      </c>
      <c r="C65" s="29">
        <f>IFERROR(INDEX(tblEtudiants[Nom et prénoms],59)&amp;"","")</f>
        <v>0</v>
      </c>
      <c r="D65" s="27">
        <f>IF(C65="","",INDEX(tblEtudiants[Groupe],59)&amp;"")</f>
        <v>0</v>
      </c>
      <c r="E65" s="27">
        <f>IF(OR($C65="",E$5=""),"",COUNTIFS(tblPresences[Étudiant],$C65,tblPresences[Code matière],E$5,tblPresences[Statut],"A"))</f>
        <v>0</v>
      </c>
      <c r="F65" s="27">
        <f>IF(OR($C65="",F$5=""),"",COUNTIFS(tblPresences[Étudiant],$C65,tblPresences[Code matière],F$5,tblPresences[Statut],"A"))</f>
        <v>0</v>
      </c>
      <c r="G65" s="27">
        <f>IF(OR($C65="",G$5=""),"",COUNTIFS(tblPresences[Étudiant],$C65,tblPresences[Code matière],G$5,tblPresences[Statut],"A"))</f>
        <v>0</v>
      </c>
      <c r="H65" s="27">
        <f>IF(OR($C65="",H$5=""),"",COUNTIFS(tblPresences[Étudiant],$C65,tblPresences[Code matière],H$5,tblPresences[Statut],"A"))</f>
        <v>0</v>
      </c>
      <c r="I65" s="27">
        <f>IF(OR($C65="",I$5=""),"",COUNTIFS(tblPresences[Étudiant],$C65,tblPresences[Code matière],I$5,tblPresences[Statut],"A"))</f>
        <v>0</v>
      </c>
      <c r="J65" s="27">
        <f>IF(OR($C65="",J$5=""),"",COUNTIFS(tblPresences[Étudiant],$C65,tblPresences[Code matière],J$5,tblPresences[Statut],"A"))</f>
        <v>0</v>
      </c>
      <c r="K65" s="27">
        <f>IF(OR($C65="",K$5=""),"",COUNTIFS(tblPresences[Étudiant],$C65,tblPresences[Code matière],K$5,tblPresences[Statut],"A"))</f>
        <v>0</v>
      </c>
      <c r="L65" s="27">
        <f>IF(OR($C65="",L$5=""),"",COUNTIFS(tblPresences[Étudiant],$C65,tblPresences[Code matière],L$5,tblPresences[Statut],"A"))</f>
        <v>0</v>
      </c>
      <c r="M65" s="27">
        <f>IF(OR($C65="",M$5=""),"",COUNTIFS(tblPresences[Étudiant],$C65,tblPresences[Code matière],M$5,tblPresences[Statut],"A"))</f>
        <v>0</v>
      </c>
      <c r="N65" s="27">
        <f>IF(OR($C65="",N$5=""),"",COUNTIFS(tblPresences[Étudiant],$C65,tblPresences[Code matière],N$5,tblPresences[Statut],"A"))</f>
        <v>0</v>
      </c>
      <c r="O65" s="27">
        <f>IF(OR($C65="",O$5=""),"",COUNTIFS(tblPresences[Étudiant],$C65,tblPresences[Code matière],O$5,tblPresences[Statut],"A"))</f>
        <v>0</v>
      </c>
      <c r="P65" s="27">
        <f>IF(OR($C65="",P$5=""),"",COUNTIFS(tblPresences[Étudiant],$C65,tblPresences[Code matière],P$5,tblPresences[Statut],"A"))</f>
        <v>0</v>
      </c>
      <c r="Q65" s="28">
        <f>IF(C65="","",SUM(E65:P65))</f>
        <v>0</v>
      </c>
      <c r="R65" s="27">
        <f>IF(C65="","",COUNTIFS(tblPresences[Étudiant],C65,tblPresences[Statut],"R"))</f>
        <v>0</v>
      </c>
      <c r="S65" s="123">
        <f>IF(C65="","",IFERROR((COUNTIFS(tblPresences[Étudiant],C65,tblPresences[Statut],"P")+COUNTIFS(tblPresences[Étudiant],C65,tblPresences[Statut],"R"))/COUNTIF(tblPresences[Étudiant],C65),""))</f>
        <v>0</v>
      </c>
      <c r="T65" s="27">
        <f>IF(C65="","",MAX(E65:P65))</f>
        <v>0</v>
      </c>
      <c r="U65" s="146">
        <f>IF(C65="","",IF(T65&gt;pSeuil,"⚠ ALERTE",""))</f>
        <v>0</v>
      </c>
    </row>
    <row r="66" spans="2:21">
      <c r="B66" s="147">
        <f>IF(C66="","",60)</f>
        <v>0</v>
      </c>
      <c r="C66" s="32">
        <f>IFERROR(INDEX(tblEtudiants[Nom et prénoms],60)&amp;"","")</f>
        <v>0</v>
      </c>
      <c r="D66" s="30">
        <f>IF(C66="","",INDEX(tblEtudiants[Groupe],60)&amp;"")</f>
        <v>0</v>
      </c>
      <c r="E66" s="30">
        <f>IF(OR($C66="",E$5=""),"",COUNTIFS(tblPresences[Étudiant],$C66,tblPresences[Code matière],E$5,tblPresences[Statut],"A"))</f>
        <v>0</v>
      </c>
      <c r="F66" s="30">
        <f>IF(OR($C66="",F$5=""),"",COUNTIFS(tblPresences[Étudiant],$C66,tblPresences[Code matière],F$5,tblPresences[Statut],"A"))</f>
        <v>0</v>
      </c>
      <c r="G66" s="30">
        <f>IF(OR($C66="",G$5=""),"",COUNTIFS(tblPresences[Étudiant],$C66,tblPresences[Code matière],G$5,tblPresences[Statut],"A"))</f>
        <v>0</v>
      </c>
      <c r="H66" s="30">
        <f>IF(OR($C66="",H$5=""),"",COUNTIFS(tblPresences[Étudiant],$C66,tblPresences[Code matière],H$5,tblPresences[Statut],"A"))</f>
        <v>0</v>
      </c>
      <c r="I66" s="30">
        <f>IF(OR($C66="",I$5=""),"",COUNTIFS(tblPresences[Étudiant],$C66,tblPresences[Code matière],I$5,tblPresences[Statut],"A"))</f>
        <v>0</v>
      </c>
      <c r="J66" s="30">
        <f>IF(OR($C66="",J$5=""),"",COUNTIFS(tblPresences[Étudiant],$C66,tblPresences[Code matière],J$5,tblPresences[Statut],"A"))</f>
        <v>0</v>
      </c>
      <c r="K66" s="30">
        <f>IF(OR($C66="",K$5=""),"",COUNTIFS(tblPresences[Étudiant],$C66,tblPresences[Code matière],K$5,tblPresences[Statut],"A"))</f>
        <v>0</v>
      </c>
      <c r="L66" s="30">
        <f>IF(OR($C66="",L$5=""),"",COUNTIFS(tblPresences[Étudiant],$C66,tblPresences[Code matière],L$5,tblPresences[Statut],"A"))</f>
        <v>0</v>
      </c>
      <c r="M66" s="30">
        <f>IF(OR($C66="",M$5=""),"",COUNTIFS(tblPresences[Étudiant],$C66,tblPresences[Code matière],M$5,tblPresences[Statut],"A"))</f>
        <v>0</v>
      </c>
      <c r="N66" s="30">
        <f>IF(OR($C66="",N$5=""),"",COUNTIFS(tblPresences[Étudiant],$C66,tblPresences[Code matière],N$5,tblPresences[Statut],"A"))</f>
        <v>0</v>
      </c>
      <c r="O66" s="30">
        <f>IF(OR($C66="",O$5=""),"",COUNTIFS(tblPresences[Étudiant],$C66,tblPresences[Code matière],O$5,tblPresences[Statut],"A"))</f>
        <v>0</v>
      </c>
      <c r="P66" s="30">
        <f>IF(OR($C66="",P$5=""),"",COUNTIFS(tblPresences[Étudiant],$C66,tblPresences[Code matière],P$5,tblPresences[Statut],"A"))</f>
        <v>0</v>
      </c>
      <c r="Q66" s="31">
        <f>IF(C66="","",SUM(E66:P66))</f>
        <v>0</v>
      </c>
      <c r="R66" s="30">
        <f>IF(C66="","",COUNTIFS(tblPresences[Étudiant],C66,tblPresences[Statut],"R"))</f>
        <v>0</v>
      </c>
      <c r="S66" s="124">
        <f>IF(C66="","",IFERROR((COUNTIFS(tblPresences[Étudiant],C66,tblPresences[Statut],"P")+COUNTIFS(tblPresences[Étudiant],C66,tblPresences[Statut],"R"))/COUNTIF(tblPresences[Étudiant],C66),""))</f>
        <v>0</v>
      </c>
      <c r="T66" s="30">
        <f>IF(C66="","",MAX(E66:P66))</f>
        <v>0</v>
      </c>
      <c r="U66" s="148">
        <f>IF(C66="","",IF(T66&gt;pSeuil,"⚠ ALERTE",""))</f>
        <v>0</v>
      </c>
    </row>
    <row r="67" spans="2:21">
      <c r="B67" s="145">
        <f>IF(C67="","",61)</f>
        <v>0</v>
      </c>
      <c r="C67" s="29">
        <f>IFERROR(INDEX(tblEtudiants[Nom et prénoms],61)&amp;"","")</f>
        <v>0</v>
      </c>
      <c r="D67" s="27">
        <f>IF(C67="","",INDEX(tblEtudiants[Groupe],61)&amp;"")</f>
        <v>0</v>
      </c>
      <c r="E67" s="27">
        <f>IF(OR($C67="",E$5=""),"",COUNTIFS(tblPresences[Étudiant],$C67,tblPresences[Code matière],E$5,tblPresences[Statut],"A"))</f>
        <v>0</v>
      </c>
      <c r="F67" s="27">
        <f>IF(OR($C67="",F$5=""),"",COUNTIFS(tblPresences[Étudiant],$C67,tblPresences[Code matière],F$5,tblPresences[Statut],"A"))</f>
        <v>0</v>
      </c>
      <c r="G67" s="27">
        <f>IF(OR($C67="",G$5=""),"",COUNTIFS(tblPresences[Étudiant],$C67,tblPresences[Code matière],G$5,tblPresences[Statut],"A"))</f>
        <v>0</v>
      </c>
      <c r="H67" s="27">
        <f>IF(OR($C67="",H$5=""),"",COUNTIFS(tblPresences[Étudiant],$C67,tblPresences[Code matière],H$5,tblPresences[Statut],"A"))</f>
        <v>0</v>
      </c>
      <c r="I67" s="27">
        <f>IF(OR($C67="",I$5=""),"",COUNTIFS(tblPresences[Étudiant],$C67,tblPresences[Code matière],I$5,tblPresences[Statut],"A"))</f>
        <v>0</v>
      </c>
      <c r="J67" s="27">
        <f>IF(OR($C67="",J$5=""),"",COUNTIFS(tblPresences[Étudiant],$C67,tblPresences[Code matière],J$5,tblPresences[Statut],"A"))</f>
        <v>0</v>
      </c>
      <c r="K67" s="27">
        <f>IF(OR($C67="",K$5=""),"",COUNTIFS(tblPresences[Étudiant],$C67,tblPresences[Code matière],K$5,tblPresences[Statut],"A"))</f>
        <v>0</v>
      </c>
      <c r="L67" s="27">
        <f>IF(OR($C67="",L$5=""),"",COUNTIFS(tblPresences[Étudiant],$C67,tblPresences[Code matière],L$5,tblPresences[Statut],"A"))</f>
        <v>0</v>
      </c>
      <c r="M67" s="27">
        <f>IF(OR($C67="",M$5=""),"",COUNTIFS(tblPresences[Étudiant],$C67,tblPresences[Code matière],M$5,tblPresences[Statut],"A"))</f>
        <v>0</v>
      </c>
      <c r="N67" s="27">
        <f>IF(OR($C67="",N$5=""),"",COUNTIFS(tblPresences[Étudiant],$C67,tblPresences[Code matière],N$5,tblPresences[Statut],"A"))</f>
        <v>0</v>
      </c>
      <c r="O67" s="27">
        <f>IF(OR($C67="",O$5=""),"",COUNTIFS(tblPresences[Étudiant],$C67,tblPresences[Code matière],O$5,tblPresences[Statut],"A"))</f>
        <v>0</v>
      </c>
      <c r="P67" s="27">
        <f>IF(OR($C67="",P$5=""),"",COUNTIFS(tblPresences[Étudiant],$C67,tblPresences[Code matière],P$5,tblPresences[Statut],"A"))</f>
        <v>0</v>
      </c>
      <c r="Q67" s="28">
        <f>IF(C67="","",SUM(E67:P67))</f>
        <v>0</v>
      </c>
      <c r="R67" s="27">
        <f>IF(C67="","",COUNTIFS(tblPresences[Étudiant],C67,tblPresences[Statut],"R"))</f>
        <v>0</v>
      </c>
      <c r="S67" s="123">
        <f>IF(C67="","",IFERROR((COUNTIFS(tblPresences[Étudiant],C67,tblPresences[Statut],"P")+COUNTIFS(tblPresences[Étudiant],C67,tblPresences[Statut],"R"))/COUNTIF(tblPresences[Étudiant],C67),""))</f>
        <v>0</v>
      </c>
      <c r="T67" s="27">
        <f>IF(C67="","",MAX(E67:P67))</f>
        <v>0</v>
      </c>
      <c r="U67" s="146">
        <f>IF(C67="","",IF(T67&gt;pSeuil,"⚠ ALERTE",""))</f>
        <v>0</v>
      </c>
    </row>
    <row r="68" spans="2:21">
      <c r="B68" s="147">
        <f>IF(C68="","",62)</f>
        <v>0</v>
      </c>
      <c r="C68" s="32">
        <f>IFERROR(INDEX(tblEtudiants[Nom et prénoms],62)&amp;"","")</f>
        <v>0</v>
      </c>
      <c r="D68" s="30">
        <f>IF(C68="","",INDEX(tblEtudiants[Groupe],62)&amp;"")</f>
        <v>0</v>
      </c>
      <c r="E68" s="30">
        <f>IF(OR($C68="",E$5=""),"",COUNTIFS(tblPresences[Étudiant],$C68,tblPresences[Code matière],E$5,tblPresences[Statut],"A"))</f>
        <v>0</v>
      </c>
      <c r="F68" s="30">
        <f>IF(OR($C68="",F$5=""),"",COUNTIFS(tblPresences[Étudiant],$C68,tblPresences[Code matière],F$5,tblPresences[Statut],"A"))</f>
        <v>0</v>
      </c>
      <c r="G68" s="30">
        <f>IF(OR($C68="",G$5=""),"",COUNTIFS(tblPresences[Étudiant],$C68,tblPresences[Code matière],G$5,tblPresences[Statut],"A"))</f>
        <v>0</v>
      </c>
      <c r="H68" s="30">
        <f>IF(OR($C68="",H$5=""),"",COUNTIFS(tblPresences[Étudiant],$C68,tblPresences[Code matière],H$5,tblPresences[Statut],"A"))</f>
        <v>0</v>
      </c>
      <c r="I68" s="30">
        <f>IF(OR($C68="",I$5=""),"",COUNTIFS(tblPresences[Étudiant],$C68,tblPresences[Code matière],I$5,tblPresences[Statut],"A"))</f>
        <v>0</v>
      </c>
      <c r="J68" s="30">
        <f>IF(OR($C68="",J$5=""),"",COUNTIFS(tblPresences[Étudiant],$C68,tblPresences[Code matière],J$5,tblPresences[Statut],"A"))</f>
        <v>0</v>
      </c>
      <c r="K68" s="30">
        <f>IF(OR($C68="",K$5=""),"",COUNTIFS(tblPresences[Étudiant],$C68,tblPresences[Code matière],K$5,tblPresences[Statut],"A"))</f>
        <v>0</v>
      </c>
      <c r="L68" s="30">
        <f>IF(OR($C68="",L$5=""),"",COUNTIFS(tblPresences[Étudiant],$C68,tblPresences[Code matière],L$5,tblPresences[Statut],"A"))</f>
        <v>0</v>
      </c>
      <c r="M68" s="30">
        <f>IF(OR($C68="",M$5=""),"",COUNTIFS(tblPresences[Étudiant],$C68,tblPresences[Code matière],M$5,tblPresences[Statut],"A"))</f>
        <v>0</v>
      </c>
      <c r="N68" s="30">
        <f>IF(OR($C68="",N$5=""),"",COUNTIFS(tblPresences[Étudiant],$C68,tblPresences[Code matière],N$5,tblPresences[Statut],"A"))</f>
        <v>0</v>
      </c>
      <c r="O68" s="30">
        <f>IF(OR($C68="",O$5=""),"",COUNTIFS(tblPresences[Étudiant],$C68,tblPresences[Code matière],O$5,tblPresences[Statut],"A"))</f>
        <v>0</v>
      </c>
      <c r="P68" s="30">
        <f>IF(OR($C68="",P$5=""),"",COUNTIFS(tblPresences[Étudiant],$C68,tblPresences[Code matière],P$5,tblPresences[Statut],"A"))</f>
        <v>0</v>
      </c>
      <c r="Q68" s="31">
        <f>IF(C68="","",SUM(E68:P68))</f>
        <v>0</v>
      </c>
      <c r="R68" s="30">
        <f>IF(C68="","",COUNTIFS(tblPresences[Étudiant],C68,tblPresences[Statut],"R"))</f>
        <v>0</v>
      </c>
      <c r="S68" s="124">
        <f>IF(C68="","",IFERROR((COUNTIFS(tblPresences[Étudiant],C68,tblPresences[Statut],"P")+COUNTIFS(tblPresences[Étudiant],C68,tblPresences[Statut],"R"))/COUNTIF(tblPresences[Étudiant],C68),""))</f>
        <v>0</v>
      </c>
      <c r="T68" s="30">
        <f>IF(C68="","",MAX(E68:P68))</f>
        <v>0</v>
      </c>
      <c r="U68" s="148">
        <f>IF(C68="","",IF(T68&gt;pSeuil,"⚠ ALERTE",""))</f>
        <v>0</v>
      </c>
    </row>
    <row r="69" spans="2:21">
      <c r="B69" s="145">
        <f>IF(C69="","",63)</f>
        <v>0</v>
      </c>
      <c r="C69" s="29">
        <f>IFERROR(INDEX(tblEtudiants[Nom et prénoms],63)&amp;"","")</f>
        <v>0</v>
      </c>
      <c r="D69" s="27">
        <f>IF(C69="","",INDEX(tblEtudiants[Groupe],63)&amp;"")</f>
        <v>0</v>
      </c>
      <c r="E69" s="27">
        <f>IF(OR($C69="",E$5=""),"",COUNTIFS(tblPresences[Étudiant],$C69,tblPresences[Code matière],E$5,tblPresences[Statut],"A"))</f>
        <v>0</v>
      </c>
      <c r="F69" s="27">
        <f>IF(OR($C69="",F$5=""),"",COUNTIFS(tblPresences[Étudiant],$C69,tblPresences[Code matière],F$5,tblPresences[Statut],"A"))</f>
        <v>0</v>
      </c>
      <c r="G69" s="27">
        <f>IF(OR($C69="",G$5=""),"",COUNTIFS(tblPresences[Étudiant],$C69,tblPresences[Code matière],G$5,tblPresences[Statut],"A"))</f>
        <v>0</v>
      </c>
      <c r="H69" s="27">
        <f>IF(OR($C69="",H$5=""),"",COUNTIFS(tblPresences[Étudiant],$C69,tblPresences[Code matière],H$5,tblPresences[Statut],"A"))</f>
        <v>0</v>
      </c>
      <c r="I69" s="27">
        <f>IF(OR($C69="",I$5=""),"",COUNTIFS(tblPresences[Étudiant],$C69,tblPresences[Code matière],I$5,tblPresences[Statut],"A"))</f>
        <v>0</v>
      </c>
      <c r="J69" s="27">
        <f>IF(OR($C69="",J$5=""),"",COUNTIFS(tblPresences[Étudiant],$C69,tblPresences[Code matière],J$5,tblPresences[Statut],"A"))</f>
        <v>0</v>
      </c>
      <c r="K69" s="27">
        <f>IF(OR($C69="",K$5=""),"",COUNTIFS(tblPresences[Étudiant],$C69,tblPresences[Code matière],K$5,tblPresences[Statut],"A"))</f>
        <v>0</v>
      </c>
      <c r="L69" s="27">
        <f>IF(OR($C69="",L$5=""),"",COUNTIFS(tblPresences[Étudiant],$C69,tblPresences[Code matière],L$5,tblPresences[Statut],"A"))</f>
        <v>0</v>
      </c>
      <c r="M69" s="27">
        <f>IF(OR($C69="",M$5=""),"",COUNTIFS(tblPresences[Étudiant],$C69,tblPresences[Code matière],M$5,tblPresences[Statut],"A"))</f>
        <v>0</v>
      </c>
      <c r="N69" s="27">
        <f>IF(OR($C69="",N$5=""),"",COUNTIFS(tblPresences[Étudiant],$C69,tblPresences[Code matière],N$5,tblPresences[Statut],"A"))</f>
        <v>0</v>
      </c>
      <c r="O69" s="27">
        <f>IF(OR($C69="",O$5=""),"",COUNTIFS(tblPresences[Étudiant],$C69,tblPresences[Code matière],O$5,tblPresences[Statut],"A"))</f>
        <v>0</v>
      </c>
      <c r="P69" s="27">
        <f>IF(OR($C69="",P$5=""),"",COUNTIFS(tblPresences[Étudiant],$C69,tblPresences[Code matière],P$5,tblPresences[Statut],"A"))</f>
        <v>0</v>
      </c>
      <c r="Q69" s="28">
        <f>IF(C69="","",SUM(E69:P69))</f>
        <v>0</v>
      </c>
      <c r="R69" s="27">
        <f>IF(C69="","",COUNTIFS(tblPresences[Étudiant],C69,tblPresences[Statut],"R"))</f>
        <v>0</v>
      </c>
      <c r="S69" s="123">
        <f>IF(C69="","",IFERROR((COUNTIFS(tblPresences[Étudiant],C69,tblPresences[Statut],"P")+COUNTIFS(tblPresences[Étudiant],C69,tblPresences[Statut],"R"))/COUNTIF(tblPresences[Étudiant],C69),""))</f>
        <v>0</v>
      </c>
      <c r="T69" s="27">
        <f>IF(C69="","",MAX(E69:P69))</f>
        <v>0</v>
      </c>
      <c r="U69" s="146">
        <f>IF(C69="","",IF(T69&gt;pSeuil,"⚠ ALERTE",""))</f>
        <v>0</v>
      </c>
    </row>
    <row r="70" spans="2:21">
      <c r="B70" s="147">
        <f>IF(C70="","",64)</f>
        <v>0</v>
      </c>
      <c r="C70" s="32">
        <f>IFERROR(INDEX(tblEtudiants[Nom et prénoms],64)&amp;"","")</f>
        <v>0</v>
      </c>
      <c r="D70" s="30">
        <f>IF(C70="","",INDEX(tblEtudiants[Groupe],64)&amp;"")</f>
        <v>0</v>
      </c>
      <c r="E70" s="30">
        <f>IF(OR($C70="",E$5=""),"",COUNTIFS(tblPresences[Étudiant],$C70,tblPresences[Code matière],E$5,tblPresences[Statut],"A"))</f>
        <v>0</v>
      </c>
      <c r="F70" s="30">
        <f>IF(OR($C70="",F$5=""),"",COUNTIFS(tblPresences[Étudiant],$C70,tblPresences[Code matière],F$5,tblPresences[Statut],"A"))</f>
        <v>0</v>
      </c>
      <c r="G70" s="30">
        <f>IF(OR($C70="",G$5=""),"",COUNTIFS(tblPresences[Étudiant],$C70,tblPresences[Code matière],G$5,tblPresences[Statut],"A"))</f>
        <v>0</v>
      </c>
      <c r="H70" s="30">
        <f>IF(OR($C70="",H$5=""),"",COUNTIFS(tblPresences[Étudiant],$C70,tblPresences[Code matière],H$5,tblPresences[Statut],"A"))</f>
        <v>0</v>
      </c>
      <c r="I70" s="30">
        <f>IF(OR($C70="",I$5=""),"",COUNTIFS(tblPresences[Étudiant],$C70,tblPresences[Code matière],I$5,tblPresences[Statut],"A"))</f>
        <v>0</v>
      </c>
      <c r="J70" s="30">
        <f>IF(OR($C70="",J$5=""),"",COUNTIFS(tblPresences[Étudiant],$C70,tblPresences[Code matière],J$5,tblPresences[Statut],"A"))</f>
        <v>0</v>
      </c>
      <c r="K70" s="30">
        <f>IF(OR($C70="",K$5=""),"",COUNTIFS(tblPresences[Étudiant],$C70,tblPresences[Code matière],K$5,tblPresences[Statut],"A"))</f>
        <v>0</v>
      </c>
      <c r="L70" s="30">
        <f>IF(OR($C70="",L$5=""),"",COUNTIFS(tblPresences[Étudiant],$C70,tblPresences[Code matière],L$5,tblPresences[Statut],"A"))</f>
        <v>0</v>
      </c>
      <c r="M70" s="30">
        <f>IF(OR($C70="",M$5=""),"",COUNTIFS(tblPresences[Étudiant],$C70,tblPresences[Code matière],M$5,tblPresences[Statut],"A"))</f>
        <v>0</v>
      </c>
      <c r="N70" s="30">
        <f>IF(OR($C70="",N$5=""),"",COUNTIFS(tblPresences[Étudiant],$C70,tblPresences[Code matière],N$5,tblPresences[Statut],"A"))</f>
        <v>0</v>
      </c>
      <c r="O70" s="30">
        <f>IF(OR($C70="",O$5=""),"",COUNTIFS(tblPresences[Étudiant],$C70,tblPresences[Code matière],O$5,tblPresences[Statut],"A"))</f>
        <v>0</v>
      </c>
      <c r="P70" s="30">
        <f>IF(OR($C70="",P$5=""),"",COUNTIFS(tblPresences[Étudiant],$C70,tblPresences[Code matière],P$5,tblPresences[Statut],"A"))</f>
        <v>0</v>
      </c>
      <c r="Q70" s="31">
        <f>IF(C70="","",SUM(E70:P70))</f>
        <v>0</v>
      </c>
      <c r="R70" s="30">
        <f>IF(C70="","",COUNTIFS(tblPresences[Étudiant],C70,tblPresences[Statut],"R"))</f>
        <v>0</v>
      </c>
      <c r="S70" s="124">
        <f>IF(C70="","",IFERROR((COUNTIFS(tblPresences[Étudiant],C70,tblPresences[Statut],"P")+COUNTIFS(tblPresences[Étudiant],C70,tblPresences[Statut],"R"))/COUNTIF(tblPresences[Étudiant],C70),""))</f>
        <v>0</v>
      </c>
      <c r="T70" s="30">
        <f>IF(C70="","",MAX(E70:P70))</f>
        <v>0</v>
      </c>
      <c r="U70" s="148">
        <f>IF(C70="","",IF(T70&gt;pSeuil,"⚠ ALERTE",""))</f>
        <v>0</v>
      </c>
    </row>
    <row r="71" spans="2:21">
      <c r="B71" s="145">
        <f>IF(C71="","",65)</f>
        <v>0</v>
      </c>
      <c r="C71" s="29">
        <f>IFERROR(INDEX(tblEtudiants[Nom et prénoms],65)&amp;"","")</f>
        <v>0</v>
      </c>
      <c r="D71" s="27">
        <f>IF(C71="","",INDEX(tblEtudiants[Groupe],65)&amp;"")</f>
        <v>0</v>
      </c>
      <c r="E71" s="27">
        <f>IF(OR($C71="",E$5=""),"",COUNTIFS(tblPresences[Étudiant],$C71,tblPresences[Code matière],E$5,tblPresences[Statut],"A"))</f>
        <v>0</v>
      </c>
      <c r="F71" s="27">
        <f>IF(OR($C71="",F$5=""),"",COUNTIFS(tblPresences[Étudiant],$C71,tblPresences[Code matière],F$5,tblPresences[Statut],"A"))</f>
        <v>0</v>
      </c>
      <c r="G71" s="27">
        <f>IF(OR($C71="",G$5=""),"",COUNTIFS(tblPresences[Étudiant],$C71,tblPresences[Code matière],G$5,tblPresences[Statut],"A"))</f>
        <v>0</v>
      </c>
      <c r="H71" s="27">
        <f>IF(OR($C71="",H$5=""),"",COUNTIFS(tblPresences[Étudiant],$C71,tblPresences[Code matière],H$5,tblPresences[Statut],"A"))</f>
        <v>0</v>
      </c>
      <c r="I71" s="27">
        <f>IF(OR($C71="",I$5=""),"",COUNTIFS(tblPresences[Étudiant],$C71,tblPresences[Code matière],I$5,tblPresences[Statut],"A"))</f>
        <v>0</v>
      </c>
      <c r="J71" s="27">
        <f>IF(OR($C71="",J$5=""),"",COUNTIFS(tblPresences[Étudiant],$C71,tblPresences[Code matière],J$5,tblPresences[Statut],"A"))</f>
        <v>0</v>
      </c>
      <c r="K71" s="27">
        <f>IF(OR($C71="",K$5=""),"",COUNTIFS(tblPresences[Étudiant],$C71,tblPresences[Code matière],K$5,tblPresences[Statut],"A"))</f>
        <v>0</v>
      </c>
      <c r="L71" s="27">
        <f>IF(OR($C71="",L$5=""),"",COUNTIFS(tblPresences[Étudiant],$C71,tblPresences[Code matière],L$5,tblPresences[Statut],"A"))</f>
        <v>0</v>
      </c>
      <c r="M71" s="27">
        <f>IF(OR($C71="",M$5=""),"",COUNTIFS(tblPresences[Étudiant],$C71,tblPresences[Code matière],M$5,tblPresences[Statut],"A"))</f>
        <v>0</v>
      </c>
      <c r="N71" s="27">
        <f>IF(OR($C71="",N$5=""),"",COUNTIFS(tblPresences[Étudiant],$C71,tblPresences[Code matière],N$5,tblPresences[Statut],"A"))</f>
        <v>0</v>
      </c>
      <c r="O71" s="27">
        <f>IF(OR($C71="",O$5=""),"",COUNTIFS(tblPresences[Étudiant],$C71,tblPresences[Code matière],O$5,tblPresences[Statut],"A"))</f>
        <v>0</v>
      </c>
      <c r="P71" s="27">
        <f>IF(OR($C71="",P$5=""),"",COUNTIFS(tblPresences[Étudiant],$C71,tblPresences[Code matière],P$5,tblPresences[Statut],"A"))</f>
        <v>0</v>
      </c>
      <c r="Q71" s="28">
        <f>IF(C71="","",SUM(E71:P71))</f>
        <v>0</v>
      </c>
      <c r="R71" s="27">
        <f>IF(C71="","",COUNTIFS(tblPresences[Étudiant],C71,tblPresences[Statut],"R"))</f>
        <v>0</v>
      </c>
      <c r="S71" s="123">
        <f>IF(C71="","",IFERROR((COUNTIFS(tblPresences[Étudiant],C71,tblPresences[Statut],"P")+COUNTIFS(tblPresences[Étudiant],C71,tblPresences[Statut],"R"))/COUNTIF(tblPresences[Étudiant],C71),""))</f>
        <v>0</v>
      </c>
      <c r="T71" s="27">
        <f>IF(C71="","",MAX(E71:P71))</f>
        <v>0</v>
      </c>
      <c r="U71" s="146">
        <f>IF(C71="","",IF(T71&gt;pSeuil,"⚠ ALERTE",""))</f>
        <v>0</v>
      </c>
    </row>
    <row r="72" spans="2:21">
      <c r="B72" s="147">
        <f>IF(C72="","",66)</f>
        <v>0</v>
      </c>
      <c r="C72" s="32">
        <f>IFERROR(INDEX(tblEtudiants[Nom et prénoms],66)&amp;"","")</f>
        <v>0</v>
      </c>
      <c r="D72" s="30">
        <f>IF(C72="","",INDEX(tblEtudiants[Groupe],66)&amp;"")</f>
        <v>0</v>
      </c>
      <c r="E72" s="30">
        <f>IF(OR($C72="",E$5=""),"",COUNTIFS(tblPresences[Étudiant],$C72,tblPresences[Code matière],E$5,tblPresences[Statut],"A"))</f>
        <v>0</v>
      </c>
      <c r="F72" s="30">
        <f>IF(OR($C72="",F$5=""),"",COUNTIFS(tblPresences[Étudiant],$C72,tblPresences[Code matière],F$5,tblPresences[Statut],"A"))</f>
        <v>0</v>
      </c>
      <c r="G72" s="30">
        <f>IF(OR($C72="",G$5=""),"",COUNTIFS(tblPresences[Étudiant],$C72,tblPresences[Code matière],G$5,tblPresences[Statut],"A"))</f>
        <v>0</v>
      </c>
      <c r="H72" s="30">
        <f>IF(OR($C72="",H$5=""),"",COUNTIFS(tblPresences[Étudiant],$C72,tblPresences[Code matière],H$5,tblPresences[Statut],"A"))</f>
        <v>0</v>
      </c>
      <c r="I72" s="30">
        <f>IF(OR($C72="",I$5=""),"",COUNTIFS(tblPresences[Étudiant],$C72,tblPresences[Code matière],I$5,tblPresences[Statut],"A"))</f>
        <v>0</v>
      </c>
      <c r="J72" s="30">
        <f>IF(OR($C72="",J$5=""),"",COUNTIFS(tblPresences[Étudiant],$C72,tblPresences[Code matière],J$5,tblPresences[Statut],"A"))</f>
        <v>0</v>
      </c>
      <c r="K72" s="30">
        <f>IF(OR($C72="",K$5=""),"",COUNTIFS(tblPresences[Étudiant],$C72,tblPresences[Code matière],K$5,tblPresences[Statut],"A"))</f>
        <v>0</v>
      </c>
      <c r="L72" s="30">
        <f>IF(OR($C72="",L$5=""),"",COUNTIFS(tblPresences[Étudiant],$C72,tblPresences[Code matière],L$5,tblPresences[Statut],"A"))</f>
        <v>0</v>
      </c>
      <c r="M72" s="30">
        <f>IF(OR($C72="",M$5=""),"",COUNTIFS(tblPresences[Étudiant],$C72,tblPresences[Code matière],M$5,tblPresences[Statut],"A"))</f>
        <v>0</v>
      </c>
      <c r="N72" s="30">
        <f>IF(OR($C72="",N$5=""),"",COUNTIFS(tblPresences[Étudiant],$C72,tblPresences[Code matière],N$5,tblPresences[Statut],"A"))</f>
        <v>0</v>
      </c>
      <c r="O72" s="30">
        <f>IF(OR($C72="",O$5=""),"",COUNTIFS(tblPresences[Étudiant],$C72,tblPresences[Code matière],O$5,tblPresences[Statut],"A"))</f>
        <v>0</v>
      </c>
      <c r="P72" s="30">
        <f>IF(OR($C72="",P$5=""),"",COUNTIFS(tblPresences[Étudiant],$C72,tblPresences[Code matière],P$5,tblPresences[Statut],"A"))</f>
        <v>0</v>
      </c>
      <c r="Q72" s="31">
        <f>IF(C72="","",SUM(E72:P72))</f>
        <v>0</v>
      </c>
      <c r="R72" s="30">
        <f>IF(C72="","",COUNTIFS(tblPresences[Étudiant],C72,tblPresences[Statut],"R"))</f>
        <v>0</v>
      </c>
      <c r="S72" s="124">
        <f>IF(C72="","",IFERROR((COUNTIFS(tblPresences[Étudiant],C72,tblPresences[Statut],"P")+COUNTIFS(tblPresences[Étudiant],C72,tblPresences[Statut],"R"))/COUNTIF(tblPresences[Étudiant],C72),""))</f>
        <v>0</v>
      </c>
      <c r="T72" s="30">
        <f>IF(C72="","",MAX(E72:P72))</f>
        <v>0</v>
      </c>
      <c r="U72" s="148">
        <f>IF(C72="","",IF(T72&gt;pSeuil,"⚠ ALERTE",""))</f>
        <v>0</v>
      </c>
    </row>
    <row r="73" spans="2:21">
      <c r="B73" s="145">
        <f>IF(C73="","",67)</f>
        <v>0</v>
      </c>
      <c r="C73" s="29">
        <f>IFERROR(INDEX(tblEtudiants[Nom et prénoms],67)&amp;"","")</f>
        <v>0</v>
      </c>
      <c r="D73" s="27">
        <f>IF(C73="","",INDEX(tblEtudiants[Groupe],67)&amp;"")</f>
        <v>0</v>
      </c>
      <c r="E73" s="27">
        <f>IF(OR($C73="",E$5=""),"",COUNTIFS(tblPresences[Étudiant],$C73,tblPresences[Code matière],E$5,tblPresences[Statut],"A"))</f>
        <v>0</v>
      </c>
      <c r="F73" s="27">
        <f>IF(OR($C73="",F$5=""),"",COUNTIFS(tblPresences[Étudiant],$C73,tblPresences[Code matière],F$5,tblPresences[Statut],"A"))</f>
        <v>0</v>
      </c>
      <c r="G73" s="27">
        <f>IF(OR($C73="",G$5=""),"",COUNTIFS(tblPresences[Étudiant],$C73,tblPresences[Code matière],G$5,tblPresences[Statut],"A"))</f>
        <v>0</v>
      </c>
      <c r="H73" s="27">
        <f>IF(OR($C73="",H$5=""),"",COUNTIFS(tblPresences[Étudiant],$C73,tblPresences[Code matière],H$5,tblPresences[Statut],"A"))</f>
        <v>0</v>
      </c>
      <c r="I73" s="27">
        <f>IF(OR($C73="",I$5=""),"",COUNTIFS(tblPresences[Étudiant],$C73,tblPresences[Code matière],I$5,tblPresences[Statut],"A"))</f>
        <v>0</v>
      </c>
      <c r="J73" s="27">
        <f>IF(OR($C73="",J$5=""),"",COUNTIFS(tblPresences[Étudiant],$C73,tblPresences[Code matière],J$5,tblPresences[Statut],"A"))</f>
        <v>0</v>
      </c>
      <c r="K73" s="27">
        <f>IF(OR($C73="",K$5=""),"",COUNTIFS(tblPresences[Étudiant],$C73,tblPresences[Code matière],K$5,tblPresences[Statut],"A"))</f>
        <v>0</v>
      </c>
      <c r="L73" s="27">
        <f>IF(OR($C73="",L$5=""),"",COUNTIFS(tblPresences[Étudiant],$C73,tblPresences[Code matière],L$5,tblPresences[Statut],"A"))</f>
        <v>0</v>
      </c>
      <c r="M73" s="27">
        <f>IF(OR($C73="",M$5=""),"",COUNTIFS(tblPresences[Étudiant],$C73,tblPresences[Code matière],M$5,tblPresences[Statut],"A"))</f>
        <v>0</v>
      </c>
      <c r="N73" s="27">
        <f>IF(OR($C73="",N$5=""),"",COUNTIFS(tblPresences[Étudiant],$C73,tblPresences[Code matière],N$5,tblPresences[Statut],"A"))</f>
        <v>0</v>
      </c>
      <c r="O73" s="27">
        <f>IF(OR($C73="",O$5=""),"",COUNTIFS(tblPresences[Étudiant],$C73,tblPresences[Code matière],O$5,tblPresences[Statut],"A"))</f>
        <v>0</v>
      </c>
      <c r="P73" s="27">
        <f>IF(OR($C73="",P$5=""),"",COUNTIFS(tblPresences[Étudiant],$C73,tblPresences[Code matière],P$5,tblPresences[Statut],"A"))</f>
        <v>0</v>
      </c>
      <c r="Q73" s="28">
        <f>IF(C73="","",SUM(E73:P73))</f>
        <v>0</v>
      </c>
      <c r="R73" s="27">
        <f>IF(C73="","",COUNTIFS(tblPresences[Étudiant],C73,tblPresences[Statut],"R"))</f>
        <v>0</v>
      </c>
      <c r="S73" s="123">
        <f>IF(C73="","",IFERROR((COUNTIFS(tblPresences[Étudiant],C73,tblPresences[Statut],"P")+COUNTIFS(tblPresences[Étudiant],C73,tblPresences[Statut],"R"))/COUNTIF(tblPresences[Étudiant],C73),""))</f>
        <v>0</v>
      </c>
      <c r="T73" s="27">
        <f>IF(C73="","",MAX(E73:P73))</f>
        <v>0</v>
      </c>
      <c r="U73" s="146">
        <f>IF(C73="","",IF(T73&gt;pSeuil,"⚠ ALERTE",""))</f>
        <v>0</v>
      </c>
    </row>
    <row r="74" spans="2:21">
      <c r="B74" s="147">
        <f>IF(C74="","",68)</f>
        <v>0</v>
      </c>
      <c r="C74" s="32">
        <f>IFERROR(INDEX(tblEtudiants[Nom et prénoms],68)&amp;"","")</f>
        <v>0</v>
      </c>
      <c r="D74" s="30">
        <f>IF(C74="","",INDEX(tblEtudiants[Groupe],68)&amp;"")</f>
        <v>0</v>
      </c>
      <c r="E74" s="30">
        <f>IF(OR($C74="",E$5=""),"",COUNTIFS(tblPresences[Étudiant],$C74,tblPresences[Code matière],E$5,tblPresences[Statut],"A"))</f>
        <v>0</v>
      </c>
      <c r="F74" s="30">
        <f>IF(OR($C74="",F$5=""),"",COUNTIFS(tblPresences[Étudiant],$C74,tblPresences[Code matière],F$5,tblPresences[Statut],"A"))</f>
        <v>0</v>
      </c>
      <c r="G74" s="30">
        <f>IF(OR($C74="",G$5=""),"",COUNTIFS(tblPresences[Étudiant],$C74,tblPresences[Code matière],G$5,tblPresences[Statut],"A"))</f>
        <v>0</v>
      </c>
      <c r="H74" s="30">
        <f>IF(OR($C74="",H$5=""),"",COUNTIFS(tblPresences[Étudiant],$C74,tblPresences[Code matière],H$5,tblPresences[Statut],"A"))</f>
        <v>0</v>
      </c>
      <c r="I74" s="30">
        <f>IF(OR($C74="",I$5=""),"",COUNTIFS(tblPresences[Étudiant],$C74,tblPresences[Code matière],I$5,tblPresences[Statut],"A"))</f>
        <v>0</v>
      </c>
      <c r="J74" s="30">
        <f>IF(OR($C74="",J$5=""),"",COUNTIFS(tblPresences[Étudiant],$C74,tblPresences[Code matière],J$5,tblPresences[Statut],"A"))</f>
        <v>0</v>
      </c>
      <c r="K74" s="30">
        <f>IF(OR($C74="",K$5=""),"",COUNTIFS(tblPresences[Étudiant],$C74,tblPresences[Code matière],K$5,tblPresences[Statut],"A"))</f>
        <v>0</v>
      </c>
      <c r="L74" s="30">
        <f>IF(OR($C74="",L$5=""),"",COUNTIFS(tblPresences[Étudiant],$C74,tblPresences[Code matière],L$5,tblPresences[Statut],"A"))</f>
        <v>0</v>
      </c>
      <c r="M74" s="30">
        <f>IF(OR($C74="",M$5=""),"",COUNTIFS(tblPresences[Étudiant],$C74,tblPresences[Code matière],M$5,tblPresences[Statut],"A"))</f>
        <v>0</v>
      </c>
      <c r="N74" s="30">
        <f>IF(OR($C74="",N$5=""),"",COUNTIFS(tblPresences[Étudiant],$C74,tblPresences[Code matière],N$5,tblPresences[Statut],"A"))</f>
        <v>0</v>
      </c>
      <c r="O74" s="30">
        <f>IF(OR($C74="",O$5=""),"",COUNTIFS(tblPresences[Étudiant],$C74,tblPresences[Code matière],O$5,tblPresences[Statut],"A"))</f>
        <v>0</v>
      </c>
      <c r="P74" s="30">
        <f>IF(OR($C74="",P$5=""),"",COUNTIFS(tblPresences[Étudiant],$C74,tblPresences[Code matière],P$5,tblPresences[Statut],"A"))</f>
        <v>0</v>
      </c>
      <c r="Q74" s="31">
        <f>IF(C74="","",SUM(E74:P74))</f>
        <v>0</v>
      </c>
      <c r="R74" s="30">
        <f>IF(C74="","",COUNTIFS(tblPresences[Étudiant],C74,tblPresences[Statut],"R"))</f>
        <v>0</v>
      </c>
      <c r="S74" s="124">
        <f>IF(C74="","",IFERROR((COUNTIFS(tblPresences[Étudiant],C74,tblPresences[Statut],"P")+COUNTIFS(tblPresences[Étudiant],C74,tblPresences[Statut],"R"))/COUNTIF(tblPresences[Étudiant],C74),""))</f>
        <v>0</v>
      </c>
      <c r="T74" s="30">
        <f>IF(C74="","",MAX(E74:P74))</f>
        <v>0</v>
      </c>
      <c r="U74" s="148">
        <f>IF(C74="","",IF(T74&gt;pSeuil,"⚠ ALERTE",""))</f>
        <v>0</v>
      </c>
    </row>
    <row r="75" spans="2:21">
      <c r="B75" s="145">
        <f>IF(C75="","",69)</f>
        <v>0</v>
      </c>
      <c r="C75" s="29">
        <f>IFERROR(INDEX(tblEtudiants[Nom et prénoms],69)&amp;"","")</f>
        <v>0</v>
      </c>
      <c r="D75" s="27">
        <f>IF(C75="","",INDEX(tblEtudiants[Groupe],69)&amp;"")</f>
        <v>0</v>
      </c>
      <c r="E75" s="27">
        <f>IF(OR($C75="",E$5=""),"",COUNTIFS(tblPresences[Étudiant],$C75,tblPresences[Code matière],E$5,tblPresences[Statut],"A"))</f>
        <v>0</v>
      </c>
      <c r="F75" s="27">
        <f>IF(OR($C75="",F$5=""),"",COUNTIFS(tblPresences[Étudiant],$C75,tblPresences[Code matière],F$5,tblPresences[Statut],"A"))</f>
        <v>0</v>
      </c>
      <c r="G75" s="27">
        <f>IF(OR($C75="",G$5=""),"",COUNTIFS(tblPresences[Étudiant],$C75,tblPresences[Code matière],G$5,tblPresences[Statut],"A"))</f>
        <v>0</v>
      </c>
      <c r="H75" s="27">
        <f>IF(OR($C75="",H$5=""),"",COUNTIFS(tblPresences[Étudiant],$C75,tblPresences[Code matière],H$5,tblPresences[Statut],"A"))</f>
        <v>0</v>
      </c>
      <c r="I75" s="27">
        <f>IF(OR($C75="",I$5=""),"",COUNTIFS(tblPresences[Étudiant],$C75,tblPresences[Code matière],I$5,tblPresences[Statut],"A"))</f>
        <v>0</v>
      </c>
      <c r="J75" s="27">
        <f>IF(OR($C75="",J$5=""),"",COUNTIFS(tblPresences[Étudiant],$C75,tblPresences[Code matière],J$5,tblPresences[Statut],"A"))</f>
        <v>0</v>
      </c>
      <c r="K75" s="27">
        <f>IF(OR($C75="",K$5=""),"",COUNTIFS(tblPresences[Étudiant],$C75,tblPresences[Code matière],K$5,tblPresences[Statut],"A"))</f>
        <v>0</v>
      </c>
      <c r="L75" s="27">
        <f>IF(OR($C75="",L$5=""),"",COUNTIFS(tblPresences[Étudiant],$C75,tblPresences[Code matière],L$5,tblPresences[Statut],"A"))</f>
        <v>0</v>
      </c>
      <c r="M75" s="27">
        <f>IF(OR($C75="",M$5=""),"",COUNTIFS(tblPresences[Étudiant],$C75,tblPresences[Code matière],M$5,tblPresences[Statut],"A"))</f>
        <v>0</v>
      </c>
      <c r="N75" s="27">
        <f>IF(OR($C75="",N$5=""),"",COUNTIFS(tblPresences[Étudiant],$C75,tblPresences[Code matière],N$5,tblPresences[Statut],"A"))</f>
        <v>0</v>
      </c>
      <c r="O75" s="27">
        <f>IF(OR($C75="",O$5=""),"",COUNTIFS(tblPresences[Étudiant],$C75,tblPresences[Code matière],O$5,tblPresences[Statut],"A"))</f>
        <v>0</v>
      </c>
      <c r="P75" s="27">
        <f>IF(OR($C75="",P$5=""),"",COUNTIFS(tblPresences[Étudiant],$C75,tblPresences[Code matière],P$5,tblPresences[Statut],"A"))</f>
        <v>0</v>
      </c>
      <c r="Q75" s="28">
        <f>IF(C75="","",SUM(E75:P75))</f>
        <v>0</v>
      </c>
      <c r="R75" s="27">
        <f>IF(C75="","",COUNTIFS(tblPresences[Étudiant],C75,tblPresences[Statut],"R"))</f>
        <v>0</v>
      </c>
      <c r="S75" s="123">
        <f>IF(C75="","",IFERROR((COUNTIFS(tblPresences[Étudiant],C75,tblPresences[Statut],"P")+COUNTIFS(tblPresences[Étudiant],C75,tblPresences[Statut],"R"))/COUNTIF(tblPresences[Étudiant],C75),""))</f>
        <v>0</v>
      </c>
      <c r="T75" s="27">
        <f>IF(C75="","",MAX(E75:P75))</f>
        <v>0</v>
      </c>
      <c r="U75" s="146">
        <f>IF(C75="","",IF(T75&gt;pSeuil,"⚠ ALERTE",""))</f>
        <v>0</v>
      </c>
    </row>
    <row r="76" spans="2:21">
      <c r="B76" s="147">
        <f>IF(C76="","",70)</f>
        <v>0</v>
      </c>
      <c r="C76" s="32">
        <f>IFERROR(INDEX(tblEtudiants[Nom et prénoms],70)&amp;"","")</f>
        <v>0</v>
      </c>
      <c r="D76" s="30">
        <f>IF(C76="","",INDEX(tblEtudiants[Groupe],70)&amp;"")</f>
        <v>0</v>
      </c>
      <c r="E76" s="30">
        <f>IF(OR($C76="",E$5=""),"",COUNTIFS(tblPresences[Étudiant],$C76,tblPresences[Code matière],E$5,tblPresences[Statut],"A"))</f>
        <v>0</v>
      </c>
      <c r="F76" s="30">
        <f>IF(OR($C76="",F$5=""),"",COUNTIFS(tblPresences[Étudiant],$C76,tblPresences[Code matière],F$5,tblPresences[Statut],"A"))</f>
        <v>0</v>
      </c>
      <c r="G76" s="30">
        <f>IF(OR($C76="",G$5=""),"",COUNTIFS(tblPresences[Étudiant],$C76,tblPresences[Code matière],G$5,tblPresences[Statut],"A"))</f>
        <v>0</v>
      </c>
      <c r="H76" s="30">
        <f>IF(OR($C76="",H$5=""),"",COUNTIFS(tblPresences[Étudiant],$C76,tblPresences[Code matière],H$5,tblPresences[Statut],"A"))</f>
        <v>0</v>
      </c>
      <c r="I76" s="30">
        <f>IF(OR($C76="",I$5=""),"",COUNTIFS(tblPresences[Étudiant],$C76,tblPresences[Code matière],I$5,tblPresences[Statut],"A"))</f>
        <v>0</v>
      </c>
      <c r="J76" s="30">
        <f>IF(OR($C76="",J$5=""),"",COUNTIFS(tblPresences[Étudiant],$C76,tblPresences[Code matière],J$5,tblPresences[Statut],"A"))</f>
        <v>0</v>
      </c>
      <c r="K76" s="30">
        <f>IF(OR($C76="",K$5=""),"",COUNTIFS(tblPresences[Étudiant],$C76,tblPresences[Code matière],K$5,tblPresences[Statut],"A"))</f>
        <v>0</v>
      </c>
      <c r="L76" s="30">
        <f>IF(OR($C76="",L$5=""),"",COUNTIFS(tblPresences[Étudiant],$C76,tblPresences[Code matière],L$5,tblPresences[Statut],"A"))</f>
        <v>0</v>
      </c>
      <c r="M76" s="30">
        <f>IF(OR($C76="",M$5=""),"",COUNTIFS(tblPresences[Étudiant],$C76,tblPresences[Code matière],M$5,tblPresences[Statut],"A"))</f>
        <v>0</v>
      </c>
      <c r="N76" s="30">
        <f>IF(OR($C76="",N$5=""),"",COUNTIFS(tblPresences[Étudiant],$C76,tblPresences[Code matière],N$5,tblPresences[Statut],"A"))</f>
        <v>0</v>
      </c>
      <c r="O76" s="30">
        <f>IF(OR($C76="",O$5=""),"",COUNTIFS(tblPresences[Étudiant],$C76,tblPresences[Code matière],O$5,tblPresences[Statut],"A"))</f>
        <v>0</v>
      </c>
      <c r="P76" s="30">
        <f>IF(OR($C76="",P$5=""),"",COUNTIFS(tblPresences[Étudiant],$C76,tblPresences[Code matière],P$5,tblPresences[Statut],"A"))</f>
        <v>0</v>
      </c>
      <c r="Q76" s="31">
        <f>IF(C76="","",SUM(E76:P76))</f>
        <v>0</v>
      </c>
      <c r="R76" s="30">
        <f>IF(C76="","",COUNTIFS(tblPresences[Étudiant],C76,tblPresences[Statut],"R"))</f>
        <v>0</v>
      </c>
      <c r="S76" s="124">
        <f>IF(C76="","",IFERROR((COUNTIFS(tblPresences[Étudiant],C76,tblPresences[Statut],"P")+COUNTIFS(tblPresences[Étudiant],C76,tblPresences[Statut],"R"))/COUNTIF(tblPresences[Étudiant],C76),""))</f>
        <v>0</v>
      </c>
      <c r="T76" s="30">
        <f>IF(C76="","",MAX(E76:P76))</f>
        <v>0</v>
      </c>
      <c r="U76" s="148">
        <f>IF(C76="","",IF(T76&gt;pSeuil,"⚠ ALERTE",""))</f>
        <v>0</v>
      </c>
    </row>
    <row r="77" spans="2:21">
      <c r="B77" s="145">
        <f>IF(C77="","",71)</f>
        <v>0</v>
      </c>
      <c r="C77" s="29">
        <f>IFERROR(INDEX(tblEtudiants[Nom et prénoms],71)&amp;"","")</f>
        <v>0</v>
      </c>
      <c r="D77" s="27">
        <f>IF(C77="","",INDEX(tblEtudiants[Groupe],71)&amp;"")</f>
        <v>0</v>
      </c>
      <c r="E77" s="27">
        <f>IF(OR($C77="",E$5=""),"",COUNTIFS(tblPresences[Étudiant],$C77,tblPresences[Code matière],E$5,tblPresences[Statut],"A"))</f>
        <v>0</v>
      </c>
      <c r="F77" s="27">
        <f>IF(OR($C77="",F$5=""),"",COUNTIFS(tblPresences[Étudiant],$C77,tblPresences[Code matière],F$5,tblPresences[Statut],"A"))</f>
        <v>0</v>
      </c>
      <c r="G77" s="27">
        <f>IF(OR($C77="",G$5=""),"",COUNTIFS(tblPresences[Étudiant],$C77,tblPresences[Code matière],G$5,tblPresences[Statut],"A"))</f>
        <v>0</v>
      </c>
      <c r="H77" s="27">
        <f>IF(OR($C77="",H$5=""),"",COUNTIFS(tblPresences[Étudiant],$C77,tblPresences[Code matière],H$5,tblPresences[Statut],"A"))</f>
        <v>0</v>
      </c>
      <c r="I77" s="27">
        <f>IF(OR($C77="",I$5=""),"",COUNTIFS(tblPresences[Étudiant],$C77,tblPresences[Code matière],I$5,tblPresences[Statut],"A"))</f>
        <v>0</v>
      </c>
      <c r="J77" s="27">
        <f>IF(OR($C77="",J$5=""),"",COUNTIFS(tblPresences[Étudiant],$C77,tblPresences[Code matière],J$5,tblPresences[Statut],"A"))</f>
        <v>0</v>
      </c>
      <c r="K77" s="27">
        <f>IF(OR($C77="",K$5=""),"",COUNTIFS(tblPresences[Étudiant],$C77,tblPresences[Code matière],K$5,tblPresences[Statut],"A"))</f>
        <v>0</v>
      </c>
      <c r="L77" s="27">
        <f>IF(OR($C77="",L$5=""),"",COUNTIFS(tblPresences[Étudiant],$C77,tblPresences[Code matière],L$5,tblPresences[Statut],"A"))</f>
        <v>0</v>
      </c>
      <c r="M77" s="27">
        <f>IF(OR($C77="",M$5=""),"",COUNTIFS(tblPresences[Étudiant],$C77,tblPresences[Code matière],M$5,tblPresences[Statut],"A"))</f>
        <v>0</v>
      </c>
      <c r="N77" s="27">
        <f>IF(OR($C77="",N$5=""),"",COUNTIFS(tblPresences[Étudiant],$C77,tblPresences[Code matière],N$5,tblPresences[Statut],"A"))</f>
        <v>0</v>
      </c>
      <c r="O77" s="27">
        <f>IF(OR($C77="",O$5=""),"",COUNTIFS(tblPresences[Étudiant],$C77,tblPresences[Code matière],O$5,tblPresences[Statut],"A"))</f>
        <v>0</v>
      </c>
      <c r="P77" s="27">
        <f>IF(OR($C77="",P$5=""),"",COUNTIFS(tblPresences[Étudiant],$C77,tblPresences[Code matière],P$5,tblPresences[Statut],"A"))</f>
        <v>0</v>
      </c>
      <c r="Q77" s="28">
        <f>IF(C77="","",SUM(E77:P77))</f>
        <v>0</v>
      </c>
      <c r="R77" s="27">
        <f>IF(C77="","",COUNTIFS(tblPresences[Étudiant],C77,tblPresences[Statut],"R"))</f>
        <v>0</v>
      </c>
      <c r="S77" s="123">
        <f>IF(C77="","",IFERROR((COUNTIFS(tblPresences[Étudiant],C77,tblPresences[Statut],"P")+COUNTIFS(tblPresences[Étudiant],C77,tblPresences[Statut],"R"))/COUNTIF(tblPresences[Étudiant],C77),""))</f>
        <v>0</v>
      </c>
      <c r="T77" s="27">
        <f>IF(C77="","",MAX(E77:P77))</f>
        <v>0</v>
      </c>
      <c r="U77" s="146">
        <f>IF(C77="","",IF(T77&gt;pSeuil,"⚠ ALERTE",""))</f>
        <v>0</v>
      </c>
    </row>
    <row r="78" spans="2:21">
      <c r="B78" s="147">
        <f>IF(C78="","",72)</f>
        <v>0</v>
      </c>
      <c r="C78" s="32">
        <f>IFERROR(INDEX(tblEtudiants[Nom et prénoms],72)&amp;"","")</f>
        <v>0</v>
      </c>
      <c r="D78" s="30">
        <f>IF(C78="","",INDEX(tblEtudiants[Groupe],72)&amp;"")</f>
        <v>0</v>
      </c>
      <c r="E78" s="30">
        <f>IF(OR($C78="",E$5=""),"",COUNTIFS(tblPresences[Étudiant],$C78,tblPresences[Code matière],E$5,tblPresences[Statut],"A"))</f>
        <v>0</v>
      </c>
      <c r="F78" s="30">
        <f>IF(OR($C78="",F$5=""),"",COUNTIFS(tblPresences[Étudiant],$C78,tblPresences[Code matière],F$5,tblPresences[Statut],"A"))</f>
        <v>0</v>
      </c>
      <c r="G78" s="30">
        <f>IF(OR($C78="",G$5=""),"",COUNTIFS(tblPresences[Étudiant],$C78,tblPresences[Code matière],G$5,tblPresences[Statut],"A"))</f>
        <v>0</v>
      </c>
      <c r="H78" s="30">
        <f>IF(OR($C78="",H$5=""),"",COUNTIFS(tblPresences[Étudiant],$C78,tblPresences[Code matière],H$5,tblPresences[Statut],"A"))</f>
        <v>0</v>
      </c>
      <c r="I78" s="30">
        <f>IF(OR($C78="",I$5=""),"",COUNTIFS(tblPresences[Étudiant],$C78,tblPresences[Code matière],I$5,tblPresences[Statut],"A"))</f>
        <v>0</v>
      </c>
      <c r="J78" s="30">
        <f>IF(OR($C78="",J$5=""),"",COUNTIFS(tblPresences[Étudiant],$C78,tblPresences[Code matière],J$5,tblPresences[Statut],"A"))</f>
        <v>0</v>
      </c>
      <c r="K78" s="30">
        <f>IF(OR($C78="",K$5=""),"",COUNTIFS(tblPresences[Étudiant],$C78,tblPresences[Code matière],K$5,tblPresences[Statut],"A"))</f>
        <v>0</v>
      </c>
      <c r="L78" s="30">
        <f>IF(OR($C78="",L$5=""),"",COUNTIFS(tblPresences[Étudiant],$C78,tblPresences[Code matière],L$5,tblPresences[Statut],"A"))</f>
        <v>0</v>
      </c>
      <c r="M78" s="30">
        <f>IF(OR($C78="",M$5=""),"",COUNTIFS(tblPresences[Étudiant],$C78,tblPresences[Code matière],M$5,tblPresences[Statut],"A"))</f>
        <v>0</v>
      </c>
      <c r="N78" s="30">
        <f>IF(OR($C78="",N$5=""),"",COUNTIFS(tblPresences[Étudiant],$C78,tblPresences[Code matière],N$5,tblPresences[Statut],"A"))</f>
        <v>0</v>
      </c>
      <c r="O78" s="30">
        <f>IF(OR($C78="",O$5=""),"",COUNTIFS(tblPresences[Étudiant],$C78,tblPresences[Code matière],O$5,tblPresences[Statut],"A"))</f>
        <v>0</v>
      </c>
      <c r="P78" s="30">
        <f>IF(OR($C78="",P$5=""),"",COUNTIFS(tblPresences[Étudiant],$C78,tblPresences[Code matière],P$5,tblPresences[Statut],"A"))</f>
        <v>0</v>
      </c>
      <c r="Q78" s="31">
        <f>IF(C78="","",SUM(E78:P78))</f>
        <v>0</v>
      </c>
      <c r="R78" s="30">
        <f>IF(C78="","",COUNTIFS(tblPresences[Étudiant],C78,tblPresences[Statut],"R"))</f>
        <v>0</v>
      </c>
      <c r="S78" s="124">
        <f>IF(C78="","",IFERROR((COUNTIFS(tblPresences[Étudiant],C78,tblPresences[Statut],"P")+COUNTIFS(tblPresences[Étudiant],C78,tblPresences[Statut],"R"))/COUNTIF(tblPresences[Étudiant],C78),""))</f>
        <v>0</v>
      </c>
      <c r="T78" s="30">
        <f>IF(C78="","",MAX(E78:P78))</f>
        <v>0</v>
      </c>
      <c r="U78" s="148">
        <f>IF(C78="","",IF(T78&gt;pSeuil,"⚠ ALERTE",""))</f>
        <v>0</v>
      </c>
    </row>
    <row r="79" spans="2:21">
      <c r="B79" s="145">
        <f>IF(C79="","",73)</f>
        <v>0</v>
      </c>
      <c r="C79" s="29">
        <f>IFERROR(INDEX(tblEtudiants[Nom et prénoms],73)&amp;"","")</f>
        <v>0</v>
      </c>
      <c r="D79" s="27">
        <f>IF(C79="","",INDEX(tblEtudiants[Groupe],73)&amp;"")</f>
        <v>0</v>
      </c>
      <c r="E79" s="27">
        <f>IF(OR($C79="",E$5=""),"",COUNTIFS(tblPresences[Étudiant],$C79,tblPresences[Code matière],E$5,tblPresences[Statut],"A"))</f>
        <v>0</v>
      </c>
      <c r="F79" s="27">
        <f>IF(OR($C79="",F$5=""),"",COUNTIFS(tblPresences[Étudiant],$C79,tblPresences[Code matière],F$5,tblPresences[Statut],"A"))</f>
        <v>0</v>
      </c>
      <c r="G79" s="27">
        <f>IF(OR($C79="",G$5=""),"",COUNTIFS(tblPresences[Étudiant],$C79,tblPresences[Code matière],G$5,tblPresences[Statut],"A"))</f>
        <v>0</v>
      </c>
      <c r="H79" s="27">
        <f>IF(OR($C79="",H$5=""),"",COUNTIFS(tblPresences[Étudiant],$C79,tblPresences[Code matière],H$5,tblPresences[Statut],"A"))</f>
        <v>0</v>
      </c>
      <c r="I79" s="27">
        <f>IF(OR($C79="",I$5=""),"",COUNTIFS(tblPresences[Étudiant],$C79,tblPresences[Code matière],I$5,tblPresences[Statut],"A"))</f>
        <v>0</v>
      </c>
      <c r="J79" s="27">
        <f>IF(OR($C79="",J$5=""),"",COUNTIFS(tblPresences[Étudiant],$C79,tblPresences[Code matière],J$5,tblPresences[Statut],"A"))</f>
        <v>0</v>
      </c>
      <c r="K79" s="27">
        <f>IF(OR($C79="",K$5=""),"",COUNTIFS(tblPresences[Étudiant],$C79,tblPresences[Code matière],K$5,tblPresences[Statut],"A"))</f>
        <v>0</v>
      </c>
      <c r="L79" s="27">
        <f>IF(OR($C79="",L$5=""),"",COUNTIFS(tblPresences[Étudiant],$C79,tblPresences[Code matière],L$5,tblPresences[Statut],"A"))</f>
        <v>0</v>
      </c>
      <c r="M79" s="27">
        <f>IF(OR($C79="",M$5=""),"",COUNTIFS(tblPresences[Étudiant],$C79,tblPresences[Code matière],M$5,tblPresences[Statut],"A"))</f>
        <v>0</v>
      </c>
      <c r="N79" s="27">
        <f>IF(OR($C79="",N$5=""),"",COUNTIFS(tblPresences[Étudiant],$C79,tblPresences[Code matière],N$5,tblPresences[Statut],"A"))</f>
        <v>0</v>
      </c>
      <c r="O79" s="27">
        <f>IF(OR($C79="",O$5=""),"",COUNTIFS(tblPresences[Étudiant],$C79,tblPresences[Code matière],O$5,tblPresences[Statut],"A"))</f>
        <v>0</v>
      </c>
      <c r="P79" s="27">
        <f>IF(OR($C79="",P$5=""),"",COUNTIFS(tblPresences[Étudiant],$C79,tblPresences[Code matière],P$5,tblPresences[Statut],"A"))</f>
        <v>0</v>
      </c>
      <c r="Q79" s="28">
        <f>IF(C79="","",SUM(E79:P79))</f>
        <v>0</v>
      </c>
      <c r="R79" s="27">
        <f>IF(C79="","",COUNTIFS(tblPresences[Étudiant],C79,tblPresences[Statut],"R"))</f>
        <v>0</v>
      </c>
      <c r="S79" s="123">
        <f>IF(C79="","",IFERROR((COUNTIFS(tblPresences[Étudiant],C79,tblPresences[Statut],"P")+COUNTIFS(tblPresences[Étudiant],C79,tblPresences[Statut],"R"))/COUNTIF(tblPresences[Étudiant],C79),""))</f>
        <v>0</v>
      </c>
      <c r="T79" s="27">
        <f>IF(C79="","",MAX(E79:P79))</f>
        <v>0</v>
      </c>
      <c r="U79" s="146">
        <f>IF(C79="","",IF(T79&gt;pSeuil,"⚠ ALERTE",""))</f>
        <v>0</v>
      </c>
    </row>
    <row r="80" spans="2:21">
      <c r="B80" s="147">
        <f>IF(C80="","",74)</f>
        <v>0</v>
      </c>
      <c r="C80" s="32">
        <f>IFERROR(INDEX(tblEtudiants[Nom et prénoms],74)&amp;"","")</f>
        <v>0</v>
      </c>
      <c r="D80" s="30">
        <f>IF(C80="","",INDEX(tblEtudiants[Groupe],74)&amp;"")</f>
        <v>0</v>
      </c>
      <c r="E80" s="30">
        <f>IF(OR($C80="",E$5=""),"",COUNTIFS(tblPresences[Étudiant],$C80,tblPresences[Code matière],E$5,tblPresences[Statut],"A"))</f>
        <v>0</v>
      </c>
      <c r="F80" s="30">
        <f>IF(OR($C80="",F$5=""),"",COUNTIFS(tblPresences[Étudiant],$C80,tblPresences[Code matière],F$5,tblPresences[Statut],"A"))</f>
        <v>0</v>
      </c>
      <c r="G80" s="30">
        <f>IF(OR($C80="",G$5=""),"",COUNTIFS(tblPresences[Étudiant],$C80,tblPresences[Code matière],G$5,tblPresences[Statut],"A"))</f>
        <v>0</v>
      </c>
      <c r="H80" s="30">
        <f>IF(OR($C80="",H$5=""),"",COUNTIFS(tblPresences[Étudiant],$C80,tblPresences[Code matière],H$5,tblPresences[Statut],"A"))</f>
        <v>0</v>
      </c>
      <c r="I80" s="30">
        <f>IF(OR($C80="",I$5=""),"",COUNTIFS(tblPresences[Étudiant],$C80,tblPresences[Code matière],I$5,tblPresences[Statut],"A"))</f>
        <v>0</v>
      </c>
      <c r="J80" s="30">
        <f>IF(OR($C80="",J$5=""),"",COUNTIFS(tblPresences[Étudiant],$C80,tblPresences[Code matière],J$5,tblPresences[Statut],"A"))</f>
        <v>0</v>
      </c>
      <c r="K80" s="30">
        <f>IF(OR($C80="",K$5=""),"",COUNTIFS(tblPresences[Étudiant],$C80,tblPresences[Code matière],K$5,tblPresences[Statut],"A"))</f>
        <v>0</v>
      </c>
      <c r="L80" s="30">
        <f>IF(OR($C80="",L$5=""),"",COUNTIFS(tblPresences[Étudiant],$C80,tblPresences[Code matière],L$5,tblPresences[Statut],"A"))</f>
        <v>0</v>
      </c>
      <c r="M80" s="30">
        <f>IF(OR($C80="",M$5=""),"",COUNTIFS(tblPresences[Étudiant],$C80,tblPresences[Code matière],M$5,tblPresences[Statut],"A"))</f>
        <v>0</v>
      </c>
      <c r="N80" s="30">
        <f>IF(OR($C80="",N$5=""),"",COUNTIFS(tblPresences[Étudiant],$C80,tblPresences[Code matière],N$5,tblPresences[Statut],"A"))</f>
        <v>0</v>
      </c>
      <c r="O80" s="30">
        <f>IF(OR($C80="",O$5=""),"",COUNTIFS(tblPresences[Étudiant],$C80,tblPresences[Code matière],O$5,tblPresences[Statut],"A"))</f>
        <v>0</v>
      </c>
      <c r="P80" s="30">
        <f>IF(OR($C80="",P$5=""),"",COUNTIFS(tblPresences[Étudiant],$C80,tblPresences[Code matière],P$5,tblPresences[Statut],"A"))</f>
        <v>0</v>
      </c>
      <c r="Q80" s="31">
        <f>IF(C80="","",SUM(E80:P80))</f>
        <v>0</v>
      </c>
      <c r="R80" s="30">
        <f>IF(C80="","",COUNTIFS(tblPresences[Étudiant],C80,tblPresences[Statut],"R"))</f>
        <v>0</v>
      </c>
      <c r="S80" s="124">
        <f>IF(C80="","",IFERROR((COUNTIFS(tblPresences[Étudiant],C80,tblPresences[Statut],"P")+COUNTIFS(tblPresences[Étudiant],C80,tblPresences[Statut],"R"))/COUNTIF(tblPresences[Étudiant],C80),""))</f>
        <v>0</v>
      </c>
      <c r="T80" s="30">
        <f>IF(C80="","",MAX(E80:P80))</f>
        <v>0</v>
      </c>
      <c r="U80" s="148">
        <f>IF(C80="","",IF(T80&gt;pSeuil,"⚠ ALERTE",""))</f>
        <v>0</v>
      </c>
    </row>
    <row r="81" spans="2:21">
      <c r="B81" s="145">
        <f>IF(C81="","",75)</f>
        <v>0</v>
      </c>
      <c r="C81" s="29">
        <f>IFERROR(INDEX(tblEtudiants[Nom et prénoms],75)&amp;"","")</f>
        <v>0</v>
      </c>
      <c r="D81" s="27">
        <f>IF(C81="","",INDEX(tblEtudiants[Groupe],75)&amp;"")</f>
        <v>0</v>
      </c>
      <c r="E81" s="27">
        <f>IF(OR($C81="",E$5=""),"",COUNTIFS(tblPresences[Étudiant],$C81,tblPresences[Code matière],E$5,tblPresences[Statut],"A"))</f>
        <v>0</v>
      </c>
      <c r="F81" s="27">
        <f>IF(OR($C81="",F$5=""),"",COUNTIFS(tblPresences[Étudiant],$C81,tblPresences[Code matière],F$5,tblPresences[Statut],"A"))</f>
        <v>0</v>
      </c>
      <c r="G81" s="27">
        <f>IF(OR($C81="",G$5=""),"",COUNTIFS(tblPresences[Étudiant],$C81,tblPresences[Code matière],G$5,tblPresences[Statut],"A"))</f>
        <v>0</v>
      </c>
      <c r="H81" s="27">
        <f>IF(OR($C81="",H$5=""),"",COUNTIFS(tblPresences[Étudiant],$C81,tblPresences[Code matière],H$5,tblPresences[Statut],"A"))</f>
        <v>0</v>
      </c>
      <c r="I81" s="27">
        <f>IF(OR($C81="",I$5=""),"",COUNTIFS(tblPresences[Étudiant],$C81,tblPresences[Code matière],I$5,tblPresences[Statut],"A"))</f>
        <v>0</v>
      </c>
      <c r="J81" s="27">
        <f>IF(OR($C81="",J$5=""),"",COUNTIFS(tblPresences[Étudiant],$C81,tblPresences[Code matière],J$5,tblPresences[Statut],"A"))</f>
        <v>0</v>
      </c>
      <c r="K81" s="27">
        <f>IF(OR($C81="",K$5=""),"",COUNTIFS(tblPresences[Étudiant],$C81,tblPresences[Code matière],K$5,tblPresences[Statut],"A"))</f>
        <v>0</v>
      </c>
      <c r="L81" s="27">
        <f>IF(OR($C81="",L$5=""),"",COUNTIFS(tblPresences[Étudiant],$C81,tblPresences[Code matière],L$5,tblPresences[Statut],"A"))</f>
        <v>0</v>
      </c>
      <c r="M81" s="27">
        <f>IF(OR($C81="",M$5=""),"",COUNTIFS(tblPresences[Étudiant],$C81,tblPresences[Code matière],M$5,tblPresences[Statut],"A"))</f>
        <v>0</v>
      </c>
      <c r="N81" s="27">
        <f>IF(OR($C81="",N$5=""),"",COUNTIFS(tblPresences[Étudiant],$C81,tblPresences[Code matière],N$5,tblPresences[Statut],"A"))</f>
        <v>0</v>
      </c>
      <c r="O81" s="27">
        <f>IF(OR($C81="",O$5=""),"",COUNTIFS(tblPresences[Étudiant],$C81,tblPresences[Code matière],O$5,tblPresences[Statut],"A"))</f>
        <v>0</v>
      </c>
      <c r="P81" s="27">
        <f>IF(OR($C81="",P$5=""),"",COUNTIFS(tblPresences[Étudiant],$C81,tblPresences[Code matière],P$5,tblPresences[Statut],"A"))</f>
        <v>0</v>
      </c>
      <c r="Q81" s="28">
        <f>IF(C81="","",SUM(E81:P81))</f>
        <v>0</v>
      </c>
      <c r="R81" s="27">
        <f>IF(C81="","",COUNTIFS(tblPresences[Étudiant],C81,tblPresences[Statut],"R"))</f>
        <v>0</v>
      </c>
      <c r="S81" s="123">
        <f>IF(C81="","",IFERROR((COUNTIFS(tblPresences[Étudiant],C81,tblPresences[Statut],"P")+COUNTIFS(tblPresences[Étudiant],C81,tblPresences[Statut],"R"))/COUNTIF(tblPresences[Étudiant],C81),""))</f>
        <v>0</v>
      </c>
      <c r="T81" s="27">
        <f>IF(C81="","",MAX(E81:P81))</f>
        <v>0</v>
      </c>
      <c r="U81" s="146">
        <f>IF(C81="","",IF(T81&gt;pSeuil,"⚠ ALERTE",""))</f>
        <v>0</v>
      </c>
    </row>
    <row r="82" spans="2:21">
      <c r="B82" s="147">
        <f>IF(C82="","",76)</f>
        <v>0</v>
      </c>
      <c r="C82" s="32">
        <f>IFERROR(INDEX(tblEtudiants[Nom et prénoms],76)&amp;"","")</f>
        <v>0</v>
      </c>
      <c r="D82" s="30">
        <f>IF(C82="","",INDEX(tblEtudiants[Groupe],76)&amp;"")</f>
        <v>0</v>
      </c>
      <c r="E82" s="30">
        <f>IF(OR($C82="",E$5=""),"",COUNTIFS(tblPresences[Étudiant],$C82,tblPresences[Code matière],E$5,tblPresences[Statut],"A"))</f>
        <v>0</v>
      </c>
      <c r="F82" s="30">
        <f>IF(OR($C82="",F$5=""),"",COUNTIFS(tblPresences[Étudiant],$C82,tblPresences[Code matière],F$5,tblPresences[Statut],"A"))</f>
        <v>0</v>
      </c>
      <c r="G82" s="30">
        <f>IF(OR($C82="",G$5=""),"",COUNTIFS(tblPresences[Étudiant],$C82,tblPresences[Code matière],G$5,tblPresences[Statut],"A"))</f>
        <v>0</v>
      </c>
      <c r="H82" s="30">
        <f>IF(OR($C82="",H$5=""),"",COUNTIFS(tblPresences[Étudiant],$C82,tblPresences[Code matière],H$5,tblPresences[Statut],"A"))</f>
        <v>0</v>
      </c>
      <c r="I82" s="30">
        <f>IF(OR($C82="",I$5=""),"",COUNTIFS(tblPresences[Étudiant],$C82,tblPresences[Code matière],I$5,tblPresences[Statut],"A"))</f>
        <v>0</v>
      </c>
      <c r="J82" s="30">
        <f>IF(OR($C82="",J$5=""),"",COUNTIFS(tblPresences[Étudiant],$C82,tblPresences[Code matière],J$5,tblPresences[Statut],"A"))</f>
        <v>0</v>
      </c>
      <c r="K82" s="30">
        <f>IF(OR($C82="",K$5=""),"",COUNTIFS(tblPresences[Étudiant],$C82,tblPresences[Code matière],K$5,tblPresences[Statut],"A"))</f>
        <v>0</v>
      </c>
      <c r="L82" s="30">
        <f>IF(OR($C82="",L$5=""),"",COUNTIFS(tblPresences[Étudiant],$C82,tblPresences[Code matière],L$5,tblPresences[Statut],"A"))</f>
        <v>0</v>
      </c>
      <c r="M82" s="30">
        <f>IF(OR($C82="",M$5=""),"",COUNTIFS(tblPresences[Étudiant],$C82,tblPresences[Code matière],M$5,tblPresences[Statut],"A"))</f>
        <v>0</v>
      </c>
      <c r="N82" s="30">
        <f>IF(OR($C82="",N$5=""),"",COUNTIFS(tblPresences[Étudiant],$C82,tblPresences[Code matière],N$5,tblPresences[Statut],"A"))</f>
        <v>0</v>
      </c>
      <c r="O82" s="30">
        <f>IF(OR($C82="",O$5=""),"",COUNTIFS(tblPresences[Étudiant],$C82,tblPresences[Code matière],O$5,tblPresences[Statut],"A"))</f>
        <v>0</v>
      </c>
      <c r="P82" s="30">
        <f>IF(OR($C82="",P$5=""),"",COUNTIFS(tblPresences[Étudiant],$C82,tblPresences[Code matière],P$5,tblPresences[Statut],"A"))</f>
        <v>0</v>
      </c>
      <c r="Q82" s="31">
        <f>IF(C82="","",SUM(E82:P82))</f>
        <v>0</v>
      </c>
      <c r="R82" s="30">
        <f>IF(C82="","",COUNTIFS(tblPresences[Étudiant],C82,tblPresences[Statut],"R"))</f>
        <v>0</v>
      </c>
      <c r="S82" s="124">
        <f>IF(C82="","",IFERROR((COUNTIFS(tblPresences[Étudiant],C82,tblPresences[Statut],"P")+COUNTIFS(tblPresences[Étudiant],C82,tblPresences[Statut],"R"))/COUNTIF(tblPresences[Étudiant],C82),""))</f>
        <v>0</v>
      </c>
      <c r="T82" s="30">
        <f>IF(C82="","",MAX(E82:P82))</f>
        <v>0</v>
      </c>
      <c r="U82" s="148">
        <f>IF(C82="","",IF(T82&gt;pSeuil,"⚠ ALERTE",""))</f>
        <v>0</v>
      </c>
    </row>
    <row r="83" spans="2:21">
      <c r="B83" s="145">
        <f>IF(C83="","",77)</f>
        <v>0</v>
      </c>
      <c r="C83" s="29">
        <f>IFERROR(INDEX(tblEtudiants[Nom et prénoms],77)&amp;"","")</f>
        <v>0</v>
      </c>
      <c r="D83" s="27">
        <f>IF(C83="","",INDEX(tblEtudiants[Groupe],77)&amp;"")</f>
        <v>0</v>
      </c>
      <c r="E83" s="27">
        <f>IF(OR($C83="",E$5=""),"",COUNTIFS(tblPresences[Étudiant],$C83,tblPresences[Code matière],E$5,tblPresences[Statut],"A"))</f>
        <v>0</v>
      </c>
      <c r="F83" s="27">
        <f>IF(OR($C83="",F$5=""),"",COUNTIFS(tblPresences[Étudiant],$C83,tblPresences[Code matière],F$5,tblPresences[Statut],"A"))</f>
        <v>0</v>
      </c>
      <c r="G83" s="27">
        <f>IF(OR($C83="",G$5=""),"",COUNTIFS(tblPresences[Étudiant],$C83,tblPresences[Code matière],G$5,tblPresences[Statut],"A"))</f>
        <v>0</v>
      </c>
      <c r="H83" s="27">
        <f>IF(OR($C83="",H$5=""),"",COUNTIFS(tblPresences[Étudiant],$C83,tblPresences[Code matière],H$5,tblPresences[Statut],"A"))</f>
        <v>0</v>
      </c>
      <c r="I83" s="27">
        <f>IF(OR($C83="",I$5=""),"",COUNTIFS(tblPresences[Étudiant],$C83,tblPresences[Code matière],I$5,tblPresences[Statut],"A"))</f>
        <v>0</v>
      </c>
      <c r="J83" s="27">
        <f>IF(OR($C83="",J$5=""),"",COUNTIFS(tblPresences[Étudiant],$C83,tblPresences[Code matière],J$5,tblPresences[Statut],"A"))</f>
        <v>0</v>
      </c>
      <c r="K83" s="27">
        <f>IF(OR($C83="",K$5=""),"",COUNTIFS(tblPresences[Étudiant],$C83,tblPresences[Code matière],K$5,tblPresences[Statut],"A"))</f>
        <v>0</v>
      </c>
      <c r="L83" s="27">
        <f>IF(OR($C83="",L$5=""),"",COUNTIFS(tblPresences[Étudiant],$C83,tblPresences[Code matière],L$5,tblPresences[Statut],"A"))</f>
        <v>0</v>
      </c>
      <c r="M83" s="27">
        <f>IF(OR($C83="",M$5=""),"",COUNTIFS(tblPresences[Étudiant],$C83,tblPresences[Code matière],M$5,tblPresences[Statut],"A"))</f>
        <v>0</v>
      </c>
      <c r="N83" s="27">
        <f>IF(OR($C83="",N$5=""),"",COUNTIFS(tblPresences[Étudiant],$C83,tblPresences[Code matière],N$5,tblPresences[Statut],"A"))</f>
        <v>0</v>
      </c>
      <c r="O83" s="27">
        <f>IF(OR($C83="",O$5=""),"",COUNTIFS(tblPresences[Étudiant],$C83,tblPresences[Code matière],O$5,tblPresences[Statut],"A"))</f>
        <v>0</v>
      </c>
      <c r="P83" s="27">
        <f>IF(OR($C83="",P$5=""),"",COUNTIFS(tblPresences[Étudiant],$C83,tblPresences[Code matière],P$5,tblPresences[Statut],"A"))</f>
        <v>0</v>
      </c>
      <c r="Q83" s="28">
        <f>IF(C83="","",SUM(E83:P83))</f>
        <v>0</v>
      </c>
      <c r="R83" s="27">
        <f>IF(C83="","",COUNTIFS(tblPresences[Étudiant],C83,tblPresences[Statut],"R"))</f>
        <v>0</v>
      </c>
      <c r="S83" s="123">
        <f>IF(C83="","",IFERROR((COUNTIFS(tblPresences[Étudiant],C83,tblPresences[Statut],"P")+COUNTIFS(tblPresences[Étudiant],C83,tblPresences[Statut],"R"))/COUNTIF(tblPresences[Étudiant],C83),""))</f>
        <v>0</v>
      </c>
      <c r="T83" s="27">
        <f>IF(C83="","",MAX(E83:P83))</f>
        <v>0</v>
      </c>
      <c r="U83" s="146">
        <f>IF(C83="","",IF(T83&gt;pSeuil,"⚠ ALERTE",""))</f>
        <v>0</v>
      </c>
    </row>
    <row r="84" spans="2:21">
      <c r="B84" s="147">
        <f>IF(C84="","",78)</f>
        <v>0</v>
      </c>
      <c r="C84" s="32">
        <f>IFERROR(INDEX(tblEtudiants[Nom et prénoms],78)&amp;"","")</f>
        <v>0</v>
      </c>
      <c r="D84" s="30">
        <f>IF(C84="","",INDEX(tblEtudiants[Groupe],78)&amp;"")</f>
        <v>0</v>
      </c>
      <c r="E84" s="30">
        <f>IF(OR($C84="",E$5=""),"",COUNTIFS(tblPresences[Étudiant],$C84,tblPresences[Code matière],E$5,tblPresences[Statut],"A"))</f>
        <v>0</v>
      </c>
      <c r="F84" s="30">
        <f>IF(OR($C84="",F$5=""),"",COUNTIFS(tblPresences[Étudiant],$C84,tblPresences[Code matière],F$5,tblPresences[Statut],"A"))</f>
        <v>0</v>
      </c>
      <c r="G84" s="30">
        <f>IF(OR($C84="",G$5=""),"",COUNTIFS(tblPresences[Étudiant],$C84,tblPresences[Code matière],G$5,tblPresences[Statut],"A"))</f>
        <v>0</v>
      </c>
      <c r="H84" s="30">
        <f>IF(OR($C84="",H$5=""),"",COUNTIFS(tblPresences[Étudiant],$C84,tblPresences[Code matière],H$5,tblPresences[Statut],"A"))</f>
        <v>0</v>
      </c>
      <c r="I84" s="30">
        <f>IF(OR($C84="",I$5=""),"",COUNTIFS(tblPresences[Étudiant],$C84,tblPresences[Code matière],I$5,tblPresences[Statut],"A"))</f>
        <v>0</v>
      </c>
      <c r="J84" s="30">
        <f>IF(OR($C84="",J$5=""),"",COUNTIFS(tblPresences[Étudiant],$C84,tblPresences[Code matière],J$5,tblPresences[Statut],"A"))</f>
        <v>0</v>
      </c>
      <c r="K84" s="30">
        <f>IF(OR($C84="",K$5=""),"",COUNTIFS(tblPresences[Étudiant],$C84,tblPresences[Code matière],K$5,tblPresences[Statut],"A"))</f>
        <v>0</v>
      </c>
      <c r="L84" s="30">
        <f>IF(OR($C84="",L$5=""),"",COUNTIFS(tblPresences[Étudiant],$C84,tblPresences[Code matière],L$5,tblPresences[Statut],"A"))</f>
        <v>0</v>
      </c>
      <c r="M84" s="30">
        <f>IF(OR($C84="",M$5=""),"",COUNTIFS(tblPresences[Étudiant],$C84,tblPresences[Code matière],M$5,tblPresences[Statut],"A"))</f>
        <v>0</v>
      </c>
      <c r="N84" s="30">
        <f>IF(OR($C84="",N$5=""),"",COUNTIFS(tblPresences[Étudiant],$C84,tblPresences[Code matière],N$5,tblPresences[Statut],"A"))</f>
        <v>0</v>
      </c>
      <c r="O84" s="30">
        <f>IF(OR($C84="",O$5=""),"",COUNTIFS(tblPresences[Étudiant],$C84,tblPresences[Code matière],O$5,tblPresences[Statut],"A"))</f>
        <v>0</v>
      </c>
      <c r="P84" s="30">
        <f>IF(OR($C84="",P$5=""),"",COUNTIFS(tblPresences[Étudiant],$C84,tblPresences[Code matière],P$5,tblPresences[Statut],"A"))</f>
        <v>0</v>
      </c>
      <c r="Q84" s="31">
        <f>IF(C84="","",SUM(E84:P84))</f>
        <v>0</v>
      </c>
      <c r="R84" s="30">
        <f>IF(C84="","",COUNTIFS(tblPresences[Étudiant],C84,tblPresences[Statut],"R"))</f>
        <v>0</v>
      </c>
      <c r="S84" s="124">
        <f>IF(C84="","",IFERROR((COUNTIFS(tblPresences[Étudiant],C84,tblPresences[Statut],"P")+COUNTIFS(tblPresences[Étudiant],C84,tblPresences[Statut],"R"))/COUNTIF(tblPresences[Étudiant],C84),""))</f>
        <v>0</v>
      </c>
      <c r="T84" s="30">
        <f>IF(C84="","",MAX(E84:P84))</f>
        <v>0</v>
      </c>
      <c r="U84" s="148">
        <f>IF(C84="","",IF(T84&gt;pSeuil,"⚠ ALERTE",""))</f>
        <v>0</v>
      </c>
    </row>
    <row r="85" spans="2:21">
      <c r="B85" s="145">
        <f>IF(C85="","",79)</f>
        <v>0</v>
      </c>
      <c r="C85" s="29">
        <f>IFERROR(INDEX(tblEtudiants[Nom et prénoms],79)&amp;"","")</f>
        <v>0</v>
      </c>
      <c r="D85" s="27">
        <f>IF(C85="","",INDEX(tblEtudiants[Groupe],79)&amp;"")</f>
        <v>0</v>
      </c>
      <c r="E85" s="27">
        <f>IF(OR($C85="",E$5=""),"",COUNTIFS(tblPresences[Étudiant],$C85,tblPresences[Code matière],E$5,tblPresences[Statut],"A"))</f>
        <v>0</v>
      </c>
      <c r="F85" s="27">
        <f>IF(OR($C85="",F$5=""),"",COUNTIFS(tblPresences[Étudiant],$C85,tblPresences[Code matière],F$5,tblPresences[Statut],"A"))</f>
        <v>0</v>
      </c>
      <c r="G85" s="27">
        <f>IF(OR($C85="",G$5=""),"",COUNTIFS(tblPresences[Étudiant],$C85,tblPresences[Code matière],G$5,tblPresences[Statut],"A"))</f>
        <v>0</v>
      </c>
      <c r="H85" s="27">
        <f>IF(OR($C85="",H$5=""),"",COUNTIFS(tblPresences[Étudiant],$C85,tblPresences[Code matière],H$5,tblPresences[Statut],"A"))</f>
        <v>0</v>
      </c>
      <c r="I85" s="27">
        <f>IF(OR($C85="",I$5=""),"",COUNTIFS(tblPresences[Étudiant],$C85,tblPresences[Code matière],I$5,tblPresences[Statut],"A"))</f>
        <v>0</v>
      </c>
      <c r="J85" s="27">
        <f>IF(OR($C85="",J$5=""),"",COUNTIFS(tblPresences[Étudiant],$C85,tblPresences[Code matière],J$5,tblPresences[Statut],"A"))</f>
        <v>0</v>
      </c>
      <c r="K85" s="27">
        <f>IF(OR($C85="",K$5=""),"",COUNTIFS(tblPresences[Étudiant],$C85,tblPresences[Code matière],K$5,tblPresences[Statut],"A"))</f>
        <v>0</v>
      </c>
      <c r="L85" s="27">
        <f>IF(OR($C85="",L$5=""),"",COUNTIFS(tblPresences[Étudiant],$C85,tblPresences[Code matière],L$5,tblPresences[Statut],"A"))</f>
        <v>0</v>
      </c>
      <c r="M85" s="27">
        <f>IF(OR($C85="",M$5=""),"",COUNTIFS(tblPresences[Étudiant],$C85,tblPresences[Code matière],M$5,tblPresences[Statut],"A"))</f>
        <v>0</v>
      </c>
      <c r="N85" s="27">
        <f>IF(OR($C85="",N$5=""),"",COUNTIFS(tblPresences[Étudiant],$C85,tblPresences[Code matière],N$5,tblPresences[Statut],"A"))</f>
        <v>0</v>
      </c>
      <c r="O85" s="27">
        <f>IF(OR($C85="",O$5=""),"",COUNTIFS(tblPresences[Étudiant],$C85,tblPresences[Code matière],O$5,tblPresences[Statut],"A"))</f>
        <v>0</v>
      </c>
      <c r="P85" s="27">
        <f>IF(OR($C85="",P$5=""),"",COUNTIFS(tblPresences[Étudiant],$C85,tblPresences[Code matière],P$5,tblPresences[Statut],"A"))</f>
        <v>0</v>
      </c>
      <c r="Q85" s="28">
        <f>IF(C85="","",SUM(E85:P85))</f>
        <v>0</v>
      </c>
      <c r="R85" s="27">
        <f>IF(C85="","",COUNTIFS(tblPresences[Étudiant],C85,tblPresences[Statut],"R"))</f>
        <v>0</v>
      </c>
      <c r="S85" s="123">
        <f>IF(C85="","",IFERROR((COUNTIFS(tblPresences[Étudiant],C85,tblPresences[Statut],"P")+COUNTIFS(tblPresences[Étudiant],C85,tblPresences[Statut],"R"))/COUNTIF(tblPresences[Étudiant],C85),""))</f>
        <v>0</v>
      </c>
      <c r="T85" s="27">
        <f>IF(C85="","",MAX(E85:P85))</f>
        <v>0</v>
      </c>
      <c r="U85" s="146">
        <f>IF(C85="","",IF(T85&gt;pSeuil,"⚠ ALERTE",""))</f>
        <v>0</v>
      </c>
    </row>
    <row r="86" spans="2:21">
      <c r="B86" s="147">
        <f>IF(C86="","",80)</f>
        <v>0</v>
      </c>
      <c r="C86" s="32">
        <f>IFERROR(INDEX(tblEtudiants[Nom et prénoms],80)&amp;"","")</f>
        <v>0</v>
      </c>
      <c r="D86" s="30">
        <f>IF(C86="","",INDEX(tblEtudiants[Groupe],80)&amp;"")</f>
        <v>0</v>
      </c>
      <c r="E86" s="30">
        <f>IF(OR($C86="",E$5=""),"",COUNTIFS(tblPresences[Étudiant],$C86,tblPresences[Code matière],E$5,tblPresences[Statut],"A"))</f>
        <v>0</v>
      </c>
      <c r="F86" s="30">
        <f>IF(OR($C86="",F$5=""),"",COUNTIFS(tblPresences[Étudiant],$C86,tblPresences[Code matière],F$5,tblPresences[Statut],"A"))</f>
        <v>0</v>
      </c>
      <c r="G86" s="30">
        <f>IF(OR($C86="",G$5=""),"",COUNTIFS(tblPresences[Étudiant],$C86,tblPresences[Code matière],G$5,tblPresences[Statut],"A"))</f>
        <v>0</v>
      </c>
      <c r="H86" s="30">
        <f>IF(OR($C86="",H$5=""),"",COUNTIFS(tblPresences[Étudiant],$C86,tblPresences[Code matière],H$5,tblPresences[Statut],"A"))</f>
        <v>0</v>
      </c>
      <c r="I86" s="30">
        <f>IF(OR($C86="",I$5=""),"",COUNTIFS(tblPresences[Étudiant],$C86,tblPresences[Code matière],I$5,tblPresences[Statut],"A"))</f>
        <v>0</v>
      </c>
      <c r="J86" s="30">
        <f>IF(OR($C86="",J$5=""),"",COUNTIFS(tblPresences[Étudiant],$C86,tblPresences[Code matière],J$5,tblPresences[Statut],"A"))</f>
        <v>0</v>
      </c>
      <c r="K86" s="30">
        <f>IF(OR($C86="",K$5=""),"",COUNTIFS(tblPresences[Étudiant],$C86,tblPresences[Code matière],K$5,tblPresences[Statut],"A"))</f>
        <v>0</v>
      </c>
      <c r="L86" s="30">
        <f>IF(OR($C86="",L$5=""),"",COUNTIFS(tblPresences[Étudiant],$C86,tblPresences[Code matière],L$5,tblPresences[Statut],"A"))</f>
        <v>0</v>
      </c>
      <c r="M86" s="30">
        <f>IF(OR($C86="",M$5=""),"",COUNTIFS(tblPresences[Étudiant],$C86,tblPresences[Code matière],M$5,tblPresences[Statut],"A"))</f>
        <v>0</v>
      </c>
      <c r="N86" s="30">
        <f>IF(OR($C86="",N$5=""),"",COUNTIFS(tblPresences[Étudiant],$C86,tblPresences[Code matière],N$5,tblPresences[Statut],"A"))</f>
        <v>0</v>
      </c>
      <c r="O86" s="30">
        <f>IF(OR($C86="",O$5=""),"",COUNTIFS(tblPresences[Étudiant],$C86,tblPresences[Code matière],O$5,tblPresences[Statut],"A"))</f>
        <v>0</v>
      </c>
      <c r="P86" s="30">
        <f>IF(OR($C86="",P$5=""),"",COUNTIFS(tblPresences[Étudiant],$C86,tblPresences[Code matière],P$5,tblPresences[Statut],"A"))</f>
        <v>0</v>
      </c>
      <c r="Q86" s="31">
        <f>IF(C86="","",SUM(E86:P86))</f>
        <v>0</v>
      </c>
      <c r="R86" s="30">
        <f>IF(C86="","",COUNTIFS(tblPresences[Étudiant],C86,tblPresences[Statut],"R"))</f>
        <v>0</v>
      </c>
      <c r="S86" s="124">
        <f>IF(C86="","",IFERROR((COUNTIFS(tblPresences[Étudiant],C86,tblPresences[Statut],"P")+COUNTIFS(tblPresences[Étudiant],C86,tblPresences[Statut],"R"))/COUNTIF(tblPresences[Étudiant],C86),""))</f>
        <v>0</v>
      </c>
      <c r="T86" s="30">
        <f>IF(C86="","",MAX(E86:P86))</f>
        <v>0</v>
      </c>
      <c r="U86" s="148">
        <f>IF(C86="","",IF(T86&gt;pSeuil,"⚠ ALERTE",""))</f>
        <v>0</v>
      </c>
    </row>
    <row r="87" spans="2:21">
      <c r="B87" s="145">
        <f>IF(C87="","",81)</f>
        <v>0</v>
      </c>
      <c r="C87" s="29">
        <f>IFERROR(INDEX(tblEtudiants[Nom et prénoms],81)&amp;"","")</f>
        <v>0</v>
      </c>
      <c r="D87" s="27">
        <f>IF(C87="","",INDEX(tblEtudiants[Groupe],81)&amp;"")</f>
        <v>0</v>
      </c>
      <c r="E87" s="27">
        <f>IF(OR($C87="",E$5=""),"",COUNTIFS(tblPresences[Étudiant],$C87,tblPresences[Code matière],E$5,tblPresences[Statut],"A"))</f>
        <v>0</v>
      </c>
      <c r="F87" s="27">
        <f>IF(OR($C87="",F$5=""),"",COUNTIFS(tblPresences[Étudiant],$C87,tblPresences[Code matière],F$5,tblPresences[Statut],"A"))</f>
        <v>0</v>
      </c>
      <c r="G87" s="27">
        <f>IF(OR($C87="",G$5=""),"",COUNTIFS(tblPresences[Étudiant],$C87,tblPresences[Code matière],G$5,tblPresences[Statut],"A"))</f>
        <v>0</v>
      </c>
      <c r="H87" s="27">
        <f>IF(OR($C87="",H$5=""),"",COUNTIFS(tblPresences[Étudiant],$C87,tblPresences[Code matière],H$5,tblPresences[Statut],"A"))</f>
        <v>0</v>
      </c>
      <c r="I87" s="27">
        <f>IF(OR($C87="",I$5=""),"",COUNTIFS(tblPresences[Étudiant],$C87,tblPresences[Code matière],I$5,tblPresences[Statut],"A"))</f>
        <v>0</v>
      </c>
      <c r="J87" s="27">
        <f>IF(OR($C87="",J$5=""),"",COUNTIFS(tblPresences[Étudiant],$C87,tblPresences[Code matière],J$5,tblPresences[Statut],"A"))</f>
        <v>0</v>
      </c>
      <c r="K87" s="27">
        <f>IF(OR($C87="",K$5=""),"",COUNTIFS(tblPresences[Étudiant],$C87,tblPresences[Code matière],K$5,tblPresences[Statut],"A"))</f>
        <v>0</v>
      </c>
      <c r="L87" s="27">
        <f>IF(OR($C87="",L$5=""),"",COUNTIFS(tblPresences[Étudiant],$C87,tblPresences[Code matière],L$5,tblPresences[Statut],"A"))</f>
        <v>0</v>
      </c>
      <c r="M87" s="27">
        <f>IF(OR($C87="",M$5=""),"",COUNTIFS(tblPresences[Étudiant],$C87,tblPresences[Code matière],M$5,tblPresences[Statut],"A"))</f>
        <v>0</v>
      </c>
      <c r="N87" s="27">
        <f>IF(OR($C87="",N$5=""),"",COUNTIFS(tblPresences[Étudiant],$C87,tblPresences[Code matière],N$5,tblPresences[Statut],"A"))</f>
        <v>0</v>
      </c>
      <c r="O87" s="27">
        <f>IF(OR($C87="",O$5=""),"",COUNTIFS(tblPresences[Étudiant],$C87,tblPresences[Code matière],O$5,tblPresences[Statut],"A"))</f>
        <v>0</v>
      </c>
      <c r="P87" s="27">
        <f>IF(OR($C87="",P$5=""),"",COUNTIFS(tblPresences[Étudiant],$C87,tblPresences[Code matière],P$5,tblPresences[Statut],"A"))</f>
        <v>0</v>
      </c>
      <c r="Q87" s="28">
        <f>IF(C87="","",SUM(E87:P87))</f>
        <v>0</v>
      </c>
      <c r="R87" s="27">
        <f>IF(C87="","",COUNTIFS(tblPresences[Étudiant],C87,tblPresences[Statut],"R"))</f>
        <v>0</v>
      </c>
      <c r="S87" s="123">
        <f>IF(C87="","",IFERROR((COUNTIFS(tblPresences[Étudiant],C87,tblPresences[Statut],"P")+COUNTIFS(tblPresences[Étudiant],C87,tblPresences[Statut],"R"))/COUNTIF(tblPresences[Étudiant],C87),""))</f>
        <v>0</v>
      </c>
      <c r="T87" s="27">
        <f>IF(C87="","",MAX(E87:P87))</f>
        <v>0</v>
      </c>
      <c r="U87" s="146">
        <f>IF(C87="","",IF(T87&gt;pSeuil,"⚠ ALERTE",""))</f>
        <v>0</v>
      </c>
    </row>
    <row r="88" spans="2:21">
      <c r="B88" s="147">
        <f>IF(C88="","",82)</f>
        <v>0</v>
      </c>
      <c r="C88" s="32">
        <f>IFERROR(INDEX(tblEtudiants[Nom et prénoms],82)&amp;"","")</f>
        <v>0</v>
      </c>
      <c r="D88" s="30">
        <f>IF(C88="","",INDEX(tblEtudiants[Groupe],82)&amp;"")</f>
        <v>0</v>
      </c>
      <c r="E88" s="30">
        <f>IF(OR($C88="",E$5=""),"",COUNTIFS(tblPresences[Étudiant],$C88,tblPresences[Code matière],E$5,tblPresences[Statut],"A"))</f>
        <v>0</v>
      </c>
      <c r="F88" s="30">
        <f>IF(OR($C88="",F$5=""),"",COUNTIFS(tblPresences[Étudiant],$C88,tblPresences[Code matière],F$5,tblPresences[Statut],"A"))</f>
        <v>0</v>
      </c>
      <c r="G88" s="30">
        <f>IF(OR($C88="",G$5=""),"",COUNTIFS(tblPresences[Étudiant],$C88,tblPresences[Code matière],G$5,tblPresences[Statut],"A"))</f>
        <v>0</v>
      </c>
      <c r="H88" s="30">
        <f>IF(OR($C88="",H$5=""),"",COUNTIFS(tblPresences[Étudiant],$C88,tblPresences[Code matière],H$5,tblPresences[Statut],"A"))</f>
        <v>0</v>
      </c>
      <c r="I88" s="30">
        <f>IF(OR($C88="",I$5=""),"",COUNTIFS(tblPresences[Étudiant],$C88,tblPresences[Code matière],I$5,tblPresences[Statut],"A"))</f>
        <v>0</v>
      </c>
      <c r="J88" s="30">
        <f>IF(OR($C88="",J$5=""),"",COUNTIFS(tblPresences[Étudiant],$C88,tblPresences[Code matière],J$5,tblPresences[Statut],"A"))</f>
        <v>0</v>
      </c>
      <c r="K88" s="30">
        <f>IF(OR($C88="",K$5=""),"",COUNTIFS(tblPresences[Étudiant],$C88,tblPresences[Code matière],K$5,tblPresences[Statut],"A"))</f>
        <v>0</v>
      </c>
      <c r="L88" s="30">
        <f>IF(OR($C88="",L$5=""),"",COUNTIFS(tblPresences[Étudiant],$C88,tblPresences[Code matière],L$5,tblPresences[Statut],"A"))</f>
        <v>0</v>
      </c>
      <c r="M88" s="30">
        <f>IF(OR($C88="",M$5=""),"",COUNTIFS(tblPresences[Étudiant],$C88,tblPresences[Code matière],M$5,tblPresences[Statut],"A"))</f>
        <v>0</v>
      </c>
      <c r="N88" s="30">
        <f>IF(OR($C88="",N$5=""),"",COUNTIFS(tblPresences[Étudiant],$C88,tblPresences[Code matière],N$5,tblPresences[Statut],"A"))</f>
        <v>0</v>
      </c>
      <c r="O88" s="30">
        <f>IF(OR($C88="",O$5=""),"",COUNTIFS(tblPresences[Étudiant],$C88,tblPresences[Code matière],O$5,tblPresences[Statut],"A"))</f>
        <v>0</v>
      </c>
      <c r="P88" s="30">
        <f>IF(OR($C88="",P$5=""),"",COUNTIFS(tblPresences[Étudiant],$C88,tblPresences[Code matière],P$5,tblPresences[Statut],"A"))</f>
        <v>0</v>
      </c>
      <c r="Q88" s="31">
        <f>IF(C88="","",SUM(E88:P88))</f>
        <v>0</v>
      </c>
      <c r="R88" s="30">
        <f>IF(C88="","",COUNTIFS(tblPresences[Étudiant],C88,tblPresences[Statut],"R"))</f>
        <v>0</v>
      </c>
      <c r="S88" s="124">
        <f>IF(C88="","",IFERROR((COUNTIFS(tblPresences[Étudiant],C88,tblPresences[Statut],"P")+COUNTIFS(tblPresences[Étudiant],C88,tblPresences[Statut],"R"))/COUNTIF(tblPresences[Étudiant],C88),""))</f>
        <v>0</v>
      </c>
      <c r="T88" s="30">
        <f>IF(C88="","",MAX(E88:P88))</f>
        <v>0</v>
      </c>
      <c r="U88" s="148">
        <f>IF(C88="","",IF(T88&gt;pSeuil,"⚠ ALERTE",""))</f>
        <v>0</v>
      </c>
    </row>
    <row r="89" spans="2:21">
      <c r="B89" s="145">
        <f>IF(C89="","",83)</f>
        <v>0</v>
      </c>
      <c r="C89" s="29">
        <f>IFERROR(INDEX(tblEtudiants[Nom et prénoms],83)&amp;"","")</f>
        <v>0</v>
      </c>
      <c r="D89" s="27">
        <f>IF(C89="","",INDEX(tblEtudiants[Groupe],83)&amp;"")</f>
        <v>0</v>
      </c>
      <c r="E89" s="27">
        <f>IF(OR($C89="",E$5=""),"",COUNTIFS(tblPresences[Étudiant],$C89,tblPresences[Code matière],E$5,tblPresences[Statut],"A"))</f>
        <v>0</v>
      </c>
      <c r="F89" s="27">
        <f>IF(OR($C89="",F$5=""),"",COUNTIFS(tblPresences[Étudiant],$C89,tblPresences[Code matière],F$5,tblPresences[Statut],"A"))</f>
        <v>0</v>
      </c>
      <c r="G89" s="27">
        <f>IF(OR($C89="",G$5=""),"",COUNTIFS(tblPresences[Étudiant],$C89,tblPresences[Code matière],G$5,tblPresences[Statut],"A"))</f>
        <v>0</v>
      </c>
      <c r="H89" s="27">
        <f>IF(OR($C89="",H$5=""),"",COUNTIFS(tblPresences[Étudiant],$C89,tblPresences[Code matière],H$5,tblPresences[Statut],"A"))</f>
        <v>0</v>
      </c>
      <c r="I89" s="27">
        <f>IF(OR($C89="",I$5=""),"",COUNTIFS(tblPresences[Étudiant],$C89,tblPresences[Code matière],I$5,tblPresences[Statut],"A"))</f>
        <v>0</v>
      </c>
      <c r="J89" s="27">
        <f>IF(OR($C89="",J$5=""),"",COUNTIFS(tblPresences[Étudiant],$C89,tblPresences[Code matière],J$5,tblPresences[Statut],"A"))</f>
        <v>0</v>
      </c>
      <c r="K89" s="27">
        <f>IF(OR($C89="",K$5=""),"",COUNTIFS(tblPresences[Étudiant],$C89,tblPresences[Code matière],K$5,tblPresences[Statut],"A"))</f>
        <v>0</v>
      </c>
      <c r="L89" s="27">
        <f>IF(OR($C89="",L$5=""),"",COUNTIFS(tblPresences[Étudiant],$C89,tblPresences[Code matière],L$5,tblPresences[Statut],"A"))</f>
        <v>0</v>
      </c>
      <c r="M89" s="27">
        <f>IF(OR($C89="",M$5=""),"",COUNTIFS(tblPresences[Étudiant],$C89,tblPresences[Code matière],M$5,tblPresences[Statut],"A"))</f>
        <v>0</v>
      </c>
      <c r="N89" s="27">
        <f>IF(OR($C89="",N$5=""),"",COUNTIFS(tblPresences[Étudiant],$C89,tblPresences[Code matière],N$5,tblPresences[Statut],"A"))</f>
        <v>0</v>
      </c>
      <c r="O89" s="27">
        <f>IF(OR($C89="",O$5=""),"",COUNTIFS(tblPresences[Étudiant],$C89,tblPresences[Code matière],O$5,tblPresences[Statut],"A"))</f>
        <v>0</v>
      </c>
      <c r="P89" s="27">
        <f>IF(OR($C89="",P$5=""),"",COUNTIFS(tblPresences[Étudiant],$C89,tblPresences[Code matière],P$5,tblPresences[Statut],"A"))</f>
        <v>0</v>
      </c>
      <c r="Q89" s="28">
        <f>IF(C89="","",SUM(E89:P89))</f>
        <v>0</v>
      </c>
      <c r="R89" s="27">
        <f>IF(C89="","",COUNTIFS(tblPresences[Étudiant],C89,tblPresences[Statut],"R"))</f>
        <v>0</v>
      </c>
      <c r="S89" s="123">
        <f>IF(C89="","",IFERROR((COUNTIFS(tblPresences[Étudiant],C89,tblPresences[Statut],"P")+COUNTIFS(tblPresences[Étudiant],C89,tblPresences[Statut],"R"))/COUNTIF(tblPresences[Étudiant],C89),""))</f>
        <v>0</v>
      </c>
      <c r="T89" s="27">
        <f>IF(C89="","",MAX(E89:P89))</f>
        <v>0</v>
      </c>
      <c r="U89" s="146">
        <f>IF(C89="","",IF(T89&gt;pSeuil,"⚠ ALERTE",""))</f>
        <v>0</v>
      </c>
    </row>
    <row r="90" spans="2:21">
      <c r="B90" s="147">
        <f>IF(C90="","",84)</f>
        <v>0</v>
      </c>
      <c r="C90" s="32">
        <f>IFERROR(INDEX(tblEtudiants[Nom et prénoms],84)&amp;"","")</f>
        <v>0</v>
      </c>
      <c r="D90" s="30">
        <f>IF(C90="","",INDEX(tblEtudiants[Groupe],84)&amp;"")</f>
        <v>0</v>
      </c>
      <c r="E90" s="30">
        <f>IF(OR($C90="",E$5=""),"",COUNTIFS(tblPresences[Étudiant],$C90,tblPresences[Code matière],E$5,tblPresences[Statut],"A"))</f>
        <v>0</v>
      </c>
      <c r="F90" s="30">
        <f>IF(OR($C90="",F$5=""),"",COUNTIFS(tblPresences[Étudiant],$C90,tblPresences[Code matière],F$5,tblPresences[Statut],"A"))</f>
        <v>0</v>
      </c>
      <c r="G90" s="30">
        <f>IF(OR($C90="",G$5=""),"",COUNTIFS(tblPresences[Étudiant],$C90,tblPresences[Code matière],G$5,tblPresences[Statut],"A"))</f>
        <v>0</v>
      </c>
      <c r="H90" s="30">
        <f>IF(OR($C90="",H$5=""),"",COUNTIFS(tblPresences[Étudiant],$C90,tblPresences[Code matière],H$5,tblPresences[Statut],"A"))</f>
        <v>0</v>
      </c>
      <c r="I90" s="30">
        <f>IF(OR($C90="",I$5=""),"",COUNTIFS(tblPresences[Étudiant],$C90,tblPresences[Code matière],I$5,tblPresences[Statut],"A"))</f>
        <v>0</v>
      </c>
      <c r="J90" s="30">
        <f>IF(OR($C90="",J$5=""),"",COUNTIFS(tblPresences[Étudiant],$C90,tblPresences[Code matière],J$5,tblPresences[Statut],"A"))</f>
        <v>0</v>
      </c>
      <c r="K90" s="30">
        <f>IF(OR($C90="",K$5=""),"",COUNTIFS(tblPresences[Étudiant],$C90,tblPresences[Code matière],K$5,tblPresences[Statut],"A"))</f>
        <v>0</v>
      </c>
      <c r="L90" s="30">
        <f>IF(OR($C90="",L$5=""),"",COUNTIFS(tblPresences[Étudiant],$C90,tblPresences[Code matière],L$5,tblPresences[Statut],"A"))</f>
        <v>0</v>
      </c>
      <c r="M90" s="30">
        <f>IF(OR($C90="",M$5=""),"",COUNTIFS(tblPresences[Étudiant],$C90,tblPresences[Code matière],M$5,tblPresences[Statut],"A"))</f>
        <v>0</v>
      </c>
      <c r="N90" s="30">
        <f>IF(OR($C90="",N$5=""),"",COUNTIFS(tblPresences[Étudiant],$C90,tblPresences[Code matière],N$5,tblPresences[Statut],"A"))</f>
        <v>0</v>
      </c>
      <c r="O90" s="30">
        <f>IF(OR($C90="",O$5=""),"",COUNTIFS(tblPresences[Étudiant],$C90,tblPresences[Code matière],O$5,tblPresences[Statut],"A"))</f>
        <v>0</v>
      </c>
      <c r="P90" s="30">
        <f>IF(OR($C90="",P$5=""),"",COUNTIFS(tblPresences[Étudiant],$C90,tblPresences[Code matière],P$5,tblPresences[Statut],"A"))</f>
        <v>0</v>
      </c>
      <c r="Q90" s="31">
        <f>IF(C90="","",SUM(E90:P90))</f>
        <v>0</v>
      </c>
      <c r="R90" s="30">
        <f>IF(C90="","",COUNTIFS(tblPresences[Étudiant],C90,tblPresences[Statut],"R"))</f>
        <v>0</v>
      </c>
      <c r="S90" s="124">
        <f>IF(C90="","",IFERROR((COUNTIFS(tblPresences[Étudiant],C90,tblPresences[Statut],"P")+COUNTIFS(tblPresences[Étudiant],C90,tblPresences[Statut],"R"))/COUNTIF(tblPresences[Étudiant],C90),""))</f>
        <v>0</v>
      </c>
      <c r="T90" s="30">
        <f>IF(C90="","",MAX(E90:P90))</f>
        <v>0</v>
      </c>
      <c r="U90" s="148">
        <f>IF(C90="","",IF(T90&gt;pSeuil,"⚠ ALERTE",""))</f>
        <v>0</v>
      </c>
    </row>
    <row r="91" spans="2:21">
      <c r="B91" s="145">
        <f>IF(C91="","",85)</f>
        <v>0</v>
      </c>
      <c r="C91" s="29">
        <f>IFERROR(INDEX(tblEtudiants[Nom et prénoms],85)&amp;"","")</f>
        <v>0</v>
      </c>
      <c r="D91" s="27">
        <f>IF(C91="","",INDEX(tblEtudiants[Groupe],85)&amp;"")</f>
        <v>0</v>
      </c>
      <c r="E91" s="27">
        <f>IF(OR($C91="",E$5=""),"",COUNTIFS(tblPresences[Étudiant],$C91,tblPresences[Code matière],E$5,tblPresences[Statut],"A"))</f>
        <v>0</v>
      </c>
      <c r="F91" s="27">
        <f>IF(OR($C91="",F$5=""),"",COUNTIFS(tblPresences[Étudiant],$C91,tblPresences[Code matière],F$5,tblPresences[Statut],"A"))</f>
        <v>0</v>
      </c>
      <c r="G91" s="27">
        <f>IF(OR($C91="",G$5=""),"",COUNTIFS(tblPresences[Étudiant],$C91,tblPresences[Code matière],G$5,tblPresences[Statut],"A"))</f>
        <v>0</v>
      </c>
      <c r="H91" s="27">
        <f>IF(OR($C91="",H$5=""),"",COUNTIFS(tblPresences[Étudiant],$C91,tblPresences[Code matière],H$5,tblPresences[Statut],"A"))</f>
        <v>0</v>
      </c>
      <c r="I91" s="27">
        <f>IF(OR($C91="",I$5=""),"",COUNTIFS(tblPresences[Étudiant],$C91,tblPresences[Code matière],I$5,tblPresences[Statut],"A"))</f>
        <v>0</v>
      </c>
      <c r="J91" s="27">
        <f>IF(OR($C91="",J$5=""),"",COUNTIFS(tblPresences[Étudiant],$C91,tblPresences[Code matière],J$5,tblPresences[Statut],"A"))</f>
        <v>0</v>
      </c>
      <c r="K91" s="27">
        <f>IF(OR($C91="",K$5=""),"",COUNTIFS(tblPresences[Étudiant],$C91,tblPresences[Code matière],K$5,tblPresences[Statut],"A"))</f>
        <v>0</v>
      </c>
      <c r="L91" s="27">
        <f>IF(OR($C91="",L$5=""),"",COUNTIFS(tblPresences[Étudiant],$C91,tblPresences[Code matière],L$5,tblPresences[Statut],"A"))</f>
        <v>0</v>
      </c>
      <c r="M91" s="27">
        <f>IF(OR($C91="",M$5=""),"",COUNTIFS(tblPresences[Étudiant],$C91,tblPresences[Code matière],M$5,tblPresences[Statut],"A"))</f>
        <v>0</v>
      </c>
      <c r="N91" s="27">
        <f>IF(OR($C91="",N$5=""),"",COUNTIFS(tblPresences[Étudiant],$C91,tblPresences[Code matière],N$5,tblPresences[Statut],"A"))</f>
        <v>0</v>
      </c>
      <c r="O91" s="27">
        <f>IF(OR($C91="",O$5=""),"",COUNTIFS(tblPresences[Étudiant],$C91,tblPresences[Code matière],O$5,tblPresences[Statut],"A"))</f>
        <v>0</v>
      </c>
      <c r="P91" s="27">
        <f>IF(OR($C91="",P$5=""),"",COUNTIFS(tblPresences[Étudiant],$C91,tblPresences[Code matière],P$5,tblPresences[Statut],"A"))</f>
        <v>0</v>
      </c>
      <c r="Q91" s="28">
        <f>IF(C91="","",SUM(E91:P91))</f>
        <v>0</v>
      </c>
      <c r="R91" s="27">
        <f>IF(C91="","",COUNTIFS(tblPresences[Étudiant],C91,tblPresences[Statut],"R"))</f>
        <v>0</v>
      </c>
      <c r="S91" s="123">
        <f>IF(C91="","",IFERROR((COUNTIFS(tblPresences[Étudiant],C91,tblPresences[Statut],"P")+COUNTIFS(tblPresences[Étudiant],C91,tblPresences[Statut],"R"))/COUNTIF(tblPresences[Étudiant],C91),""))</f>
        <v>0</v>
      </c>
      <c r="T91" s="27">
        <f>IF(C91="","",MAX(E91:P91))</f>
        <v>0</v>
      </c>
      <c r="U91" s="146">
        <f>IF(C91="","",IF(T91&gt;pSeuil,"⚠ ALERTE",""))</f>
        <v>0</v>
      </c>
    </row>
    <row r="92" spans="2:21">
      <c r="B92" s="147">
        <f>IF(C92="","",86)</f>
        <v>0</v>
      </c>
      <c r="C92" s="32">
        <f>IFERROR(INDEX(tblEtudiants[Nom et prénoms],86)&amp;"","")</f>
        <v>0</v>
      </c>
      <c r="D92" s="30">
        <f>IF(C92="","",INDEX(tblEtudiants[Groupe],86)&amp;"")</f>
        <v>0</v>
      </c>
      <c r="E92" s="30">
        <f>IF(OR($C92="",E$5=""),"",COUNTIFS(tblPresences[Étudiant],$C92,tblPresences[Code matière],E$5,tblPresences[Statut],"A"))</f>
        <v>0</v>
      </c>
      <c r="F92" s="30">
        <f>IF(OR($C92="",F$5=""),"",COUNTIFS(tblPresences[Étudiant],$C92,tblPresences[Code matière],F$5,tblPresences[Statut],"A"))</f>
        <v>0</v>
      </c>
      <c r="G92" s="30">
        <f>IF(OR($C92="",G$5=""),"",COUNTIFS(tblPresences[Étudiant],$C92,tblPresences[Code matière],G$5,tblPresences[Statut],"A"))</f>
        <v>0</v>
      </c>
      <c r="H92" s="30">
        <f>IF(OR($C92="",H$5=""),"",COUNTIFS(tblPresences[Étudiant],$C92,tblPresences[Code matière],H$5,tblPresences[Statut],"A"))</f>
        <v>0</v>
      </c>
      <c r="I92" s="30">
        <f>IF(OR($C92="",I$5=""),"",COUNTIFS(tblPresences[Étudiant],$C92,tblPresences[Code matière],I$5,tblPresences[Statut],"A"))</f>
        <v>0</v>
      </c>
      <c r="J92" s="30">
        <f>IF(OR($C92="",J$5=""),"",COUNTIFS(tblPresences[Étudiant],$C92,tblPresences[Code matière],J$5,tblPresences[Statut],"A"))</f>
        <v>0</v>
      </c>
      <c r="K92" s="30">
        <f>IF(OR($C92="",K$5=""),"",COUNTIFS(tblPresences[Étudiant],$C92,tblPresences[Code matière],K$5,tblPresences[Statut],"A"))</f>
        <v>0</v>
      </c>
      <c r="L92" s="30">
        <f>IF(OR($C92="",L$5=""),"",COUNTIFS(tblPresences[Étudiant],$C92,tblPresences[Code matière],L$5,tblPresences[Statut],"A"))</f>
        <v>0</v>
      </c>
      <c r="M92" s="30">
        <f>IF(OR($C92="",M$5=""),"",COUNTIFS(tblPresences[Étudiant],$C92,tblPresences[Code matière],M$5,tblPresences[Statut],"A"))</f>
        <v>0</v>
      </c>
      <c r="N92" s="30">
        <f>IF(OR($C92="",N$5=""),"",COUNTIFS(tblPresences[Étudiant],$C92,tblPresences[Code matière],N$5,tblPresences[Statut],"A"))</f>
        <v>0</v>
      </c>
      <c r="O92" s="30">
        <f>IF(OR($C92="",O$5=""),"",COUNTIFS(tblPresences[Étudiant],$C92,tblPresences[Code matière],O$5,tblPresences[Statut],"A"))</f>
        <v>0</v>
      </c>
      <c r="P92" s="30">
        <f>IF(OR($C92="",P$5=""),"",COUNTIFS(tblPresences[Étudiant],$C92,tblPresences[Code matière],P$5,tblPresences[Statut],"A"))</f>
        <v>0</v>
      </c>
      <c r="Q92" s="31">
        <f>IF(C92="","",SUM(E92:P92))</f>
        <v>0</v>
      </c>
      <c r="R92" s="30">
        <f>IF(C92="","",COUNTIFS(tblPresences[Étudiant],C92,tblPresences[Statut],"R"))</f>
        <v>0</v>
      </c>
      <c r="S92" s="124">
        <f>IF(C92="","",IFERROR((COUNTIFS(tblPresences[Étudiant],C92,tblPresences[Statut],"P")+COUNTIFS(tblPresences[Étudiant],C92,tblPresences[Statut],"R"))/COUNTIF(tblPresences[Étudiant],C92),""))</f>
        <v>0</v>
      </c>
      <c r="T92" s="30">
        <f>IF(C92="","",MAX(E92:P92))</f>
        <v>0</v>
      </c>
      <c r="U92" s="148">
        <f>IF(C92="","",IF(T92&gt;pSeuil,"⚠ ALERTE",""))</f>
        <v>0</v>
      </c>
    </row>
    <row r="93" spans="2:21">
      <c r="B93" s="145">
        <f>IF(C93="","",87)</f>
        <v>0</v>
      </c>
      <c r="C93" s="29">
        <f>IFERROR(INDEX(tblEtudiants[Nom et prénoms],87)&amp;"","")</f>
        <v>0</v>
      </c>
      <c r="D93" s="27">
        <f>IF(C93="","",INDEX(tblEtudiants[Groupe],87)&amp;"")</f>
        <v>0</v>
      </c>
      <c r="E93" s="27">
        <f>IF(OR($C93="",E$5=""),"",COUNTIFS(tblPresences[Étudiant],$C93,tblPresences[Code matière],E$5,tblPresences[Statut],"A"))</f>
        <v>0</v>
      </c>
      <c r="F93" s="27">
        <f>IF(OR($C93="",F$5=""),"",COUNTIFS(tblPresences[Étudiant],$C93,tblPresences[Code matière],F$5,tblPresences[Statut],"A"))</f>
        <v>0</v>
      </c>
      <c r="G93" s="27">
        <f>IF(OR($C93="",G$5=""),"",COUNTIFS(tblPresences[Étudiant],$C93,tblPresences[Code matière],G$5,tblPresences[Statut],"A"))</f>
        <v>0</v>
      </c>
      <c r="H93" s="27">
        <f>IF(OR($C93="",H$5=""),"",COUNTIFS(tblPresences[Étudiant],$C93,tblPresences[Code matière],H$5,tblPresences[Statut],"A"))</f>
        <v>0</v>
      </c>
      <c r="I93" s="27">
        <f>IF(OR($C93="",I$5=""),"",COUNTIFS(tblPresences[Étudiant],$C93,tblPresences[Code matière],I$5,tblPresences[Statut],"A"))</f>
        <v>0</v>
      </c>
      <c r="J93" s="27">
        <f>IF(OR($C93="",J$5=""),"",COUNTIFS(tblPresences[Étudiant],$C93,tblPresences[Code matière],J$5,tblPresences[Statut],"A"))</f>
        <v>0</v>
      </c>
      <c r="K93" s="27">
        <f>IF(OR($C93="",K$5=""),"",COUNTIFS(tblPresences[Étudiant],$C93,tblPresences[Code matière],K$5,tblPresences[Statut],"A"))</f>
        <v>0</v>
      </c>
      <c r="L93" s="27">
        <f>IF(OR($C93="",L$5=""),"",COUNTIFS(tblPresences[Étudiant],$C93,tblPresences[Code matière],L$5,tblPresences[Statut],"A"))</f>
        <v>0</v>
      </c>
      <c r="M93" s="27">
        <f>IF(OR($C93="",M$5=""),"",COUNTIFS(tblPresences[Étudiant],$C93,tblPresences[Code matière],M$5,tblPresences[Statut],"A"))</f>
        <v>0</v>
      </c>
      <c r="N93" s="27">
        <f>IF(OR($C93="",N$5=""),"",COUNTIFS(tblPresences[Étudiant],$C93,tblPresences[Code matière],N$5,tblPresences[Statut],"A"))</f>
        <v>0</v>
      </c>
      <c r="O93" s="27">
        <f>IF(OR($C93="",O$5=""),"",COUNTIFS(tblPresences[Étudiant],$C93,tblPresences[Code matière],O$5,tblPresences[Statut],"A"))</f>
        <v>0</v>
      </c>
      <c r="P93" s="27">
        <f>IF(OR($C93="",P$5=""),"",COUNTIFS(tblPresences[Étudiant],$C93,tblPresences[Code matière],P$5,tblPresences[Statut],"A"))</f>
        <v>0</v>
      </c>
      <c r="Q93" s="28">
        <f>IF(C93="","",SUM(E93:P93))</f>
        <v>0</v>
      </c>
      <c r="R93" s="27">
        <f>IF(C93="","",COUNTIFS(tblPresences[Étudiant],C93,tblPresences[Statut],"R"))</f>
        <v>0</v>
      </c>
      <c r="S93" s="123">
        <f>IF(C93="","",IFERROR((COUNTIFS(tblPresences[Étudiant],C93,tblPresences[Statut],"P")+COUNTIFS(tblPresences[Étudiant],C93,tblPresences[Statut],"R"))/COUNTIF(tblPresences[Étudiant],C93),""))</f>
        <v>0</v>
      </c>
      <c r="T93" s="27">
        <f>IF(C93="","",MAX(E93:P93))</f>
        <v>0</v>
      </c>
      <c r="U93" s="146">
        <f>IF(C93="","",IF(T93&gt;pSeuil,"⚠ ALERTE",""))</f>
        <v>0</v>
      </c>
    </row>
    <row r="94" spans="2:21">
      <c r="B94" s="147">
        <f>IF(C94="","",88)</f>
        <v>0</v>
      </c>
      <c r="C94" s="32">
        <f>IFERROR(INDEX(tblEtudiants[Nom et prénoms],88)&amp;"","")</f>
        <v>0</v>
      </c>
      <c r="D94" s="30">
        <f>IF(C94="","",INDEX(tblEtudiants[Groupe],88)&amp;"")</f>
        <v>0</v>
      </c>
      <c r="E94" s="30">
        <f>IF(OR($C94="",E$5=""),"",COUNTIFS(tblPresences[Étudiant],$C94,tblPresences[Code matière],E$5,tblPresences[Statut],"A"))</f>
        <v>0</v>
      </c>
      <c r="F94" s="30">
        <f>IF(OR($C94="",F$5=""),"",COUNTIFS(tblPresences[Étudiant],$C94,tblPresences[Code matière],F$5,tblPresences[Statut],"A"))</f>
        <v>0</v>
      </c>
      <c r="G94" s="30">
        <f>IF(OR($C94="",G$5=""),"",COUNTIFS(tblPresences[Étudiant],$C94,tblPresences[Code matière],G$5,tblPresences[Statut],"A"))</f>
        <v>0</v>
      </c>
      <c r="H94" s="30">
        <f>IF(OR($C94="",H$5=""),"",COUNTIFS(tblPresences[Étudiant],$C94,tblPresences[Code matière],H$5,tblPresences[Statut],"A"))</f>
        <v>0</v>
      </c>
      <c r="I94" s="30">
        <f>IF(OR($C94="",I$5=""),"",COUNTIFS(tblPresences[Étudiant],$C94,tblPresences[Code matière],I$5,tblPresences[Statut],"A"))</f>
        <v>0</v>
      </c>
      <c r="J94" s="30">
        <f>IF(OR($C94="",J$5=""),"",COUNTIFS(tblPresences[Étudiant],$C94,tblPresences[Code matière],J$5,tblPresences[Statut],"A"))</f>
        <v>0</v>
      </c>
      <c r="K94" s="30">
        <f>IF(OR($C94="",K$5=""),"",COUNTIFS(tblPresences[Étudiant],$C94,tblPresences[Code matière],K$5,tblPresences[Statut],"A"))</f>
        <v>0</v>
      </c>
      <c r="L94" s="30">
        <f>IF(OR($C94="",L$5=""),"",COUNTIFS(tblPresences[Étudiant],$C94,tblPresences[Code matière],L$5,tblPresences[Statut],"A"))</f>
        <v>0</v>
      </c>
      <c r="M94" s="30">
        <f>IF(OR($C94="",M$5=""),"",COUNTIFS(tblPresences[Étudiant],$C94,tblPresences[Code matière],M$5,tblPresences[Statut],"A"))</f>
        <v>0</v>
      </c>
      <c r="N94" s="30">
        <f>IF(OR($C94="",N$5=""),"",COUNTIFS(tblPresences[Étudiant],$C94,tblPresences[Code matière],N$5,tblPresences[Statut],"A"))</f>
        <v>0</v>
      </c>
      <c r="O94" s="30">
        <f>IF(OR($C94="",O$5=""),"",COUNTIFS(tblPresences[Étudiant],$C94,tblPresences[Code matière],O$5,tblPresences[Statut],"A"))</f>
        <v>0</v>
      </c>
      <c r="P94" s="30">
        <f>IF(OR($C94="",P$5=""),"",COUNTIFS(tblPresences[Étudiant],$C94,tblPresences[Code matière],P$5,tblPresences[Statut],"A"))</f>
        <v>0</v>
      </c>
      <c r="Q94" s="31">
        <f>IF(C94="","",SUM(E94:P94))</f>
        <v>0</v>
      </c>
      <c r="R94" s="30">
        <f>IF(C94="","",COUNTIFS(tblPresences[Étudiant],C94,tblPresences[Statut],"R"))</f>
        <v>0</v>
      </c>
      <c r="S94" s="124">
        <f>IF(C94="","",IFERROR((COUNTIFS(tblPresences[Étudiant],C94,tblPresences[Statut],"P")+COUNTIFS(tblPresences[Étudiant],C94,tblPresences[Statut],"R"))/COUNTIF(tblPresences[Étudiant],C94),""))</f>
        <v>0</v>
      </c>
      <c r="T94" s="30">
        <f>IF(C94="","",MAX(E94:P94))</f>
        <v>0</v>
      </c>
      <c r="U94" s="148">
        <f>IF(C94="","",IF(T94&gt;pSeuil,"⚠ ALERTE",""))</f>
        <v>0</v>
      </c>
    </row>
    <row r="95" spans="2:21">
      <c r="B95" s="145">
        <f>IF(C95="","",89)</f>
        <v>0</v>
      </c>
      <c r="C95" s="29">
        <f>IFERROR(INDEX(tblEtudiants[Nom et prénoms],89)&amp;"","")</f>
        <v>0</v>
      </c>
      <c r="D95" s="27">
        <f>IF(C95="","",INDEX(tblEtudiants[Groupe],89)&amp;"")</f>
        <v>0</v>
      </c>
      <c r="E95" s="27">
        <f>IF(OR($C95="",E$5=""),"",COUNTIFS(tblPresences[Étudiant],$C95,tblPresences[Code matière],E$5,tblPresences[Statut],"A"))</f>
        <v>0</v>
      </c>
      <c r="F95" s="27">
        <f>IF(OR($C95="",F$5=""),"",COUNTIFS(tblPresences[Étudiant],$C95,tblPresences[Code matière],F$5,tblPresences[Statut],"A"))</f>
        <v>0</v>
      </c>
      <c r="G95" s="27">
        <f>IF(OR($C95="",G$5=""),"",COUNTIFS(tblPresences[Étudiant],$C95,tblPresences[Code matière],G$5,tblPresences[Statut],"A"))</f>
        <v>0</v>
      </c>
      <c r="H95" s="27">
        <f>IF(OR($C95="",H$5=""),"",COUNTIFS(tblPresences[Étudiant],$C95,tblPresences[Code matière],H$5,tblPresences[Statut],"A"))</f>
        <v>0</v>
      </c>
      <c r="I95" s="27">
        <f>IF(OR($C95="",I$5=""),"",COUNTIFS(tblPresences[Étudiant],$C95,tblPresences[Code matière],I$5,tblPresences[Statut],"A"))</f>
        <v>0</v>
      </c>
      <c r="J95" s="27">
        <f>IF(OR($C95="",J$5=""),"",COUNTIFS(tblPresences[Étudiant],$C95,tblPresences[Code matière],J$5,tblPresences[Statut],"A"))</f>
        <v>0</v>
      </c>
      <c r="K95" s="27">
        <f>IF(OR($C95="",K$5=""),"",COUNTIFS(tblPresences[Étudiant],$C95,tblPresences[Code matière],K$5,tblPresences[Statut],"A"))</f>
        <v>0</v>
      </c>
      <c r="L95" s="27">
        <f>IF(OR($C95="",L$5=""),"",COUNTIFS(tblPresences[Étudiant],$C95,tblPresences[Code matière],L$5,tblPresences[Statut],"A"))</f>
        <v>0</v>
      </c>
      <c r="M95" s="27">
        <f>IF(OR($C95="",M$5=""),"",COUNTIFS(tblPresences[Étudiant],$C95,tblPresences[Code matière],M$5,tblPresences[Statut],"A"))</f>
        <v>0</v>
      </c>
      <c r="N95" s="27">
        <f>IF(OR($C95="",N$5=""),"",COUNTIFS(tblPresences[Étudiant],$C95,tblPresences[Code matière],N$5,tblPresences[Statut],"A"))</f>
        <v>0</v>
      </c>
      <c r="O95" s="27">
        <f>IF(OR($C95="",O$5=""),"",COUNTIFS(tblPresences[Étudiant],$C95,tblPresences[Code matière],O$5,tblPresences[Statut],"A"))</f>
        <v>0</v>
      </c>
      <c r="P95" s="27">
        <f>IF(OR($C95="",P$5=""),"",COUNTIFS(tblPresences[Étudiant],$C95,tblPresences[Code matière],P$5,tblPresences[Statut],"A"))</f>
        <v>0</v>
      </c>
      <c r="Q95" s="28">
        <f>IF(C95="","",SUM(E95:P95))</f>
        <v>0</v>
      </c>
      <c r="R95" s="27">
        <f>IF(C95="","",COUNTIFS(tblPresences[Étudiant],C95,tblPresences[Statut],"R"))</f>
        <v>0</v>
      </c>
      <c r="S95" s="123">
        <f>IF(C95="","",IFERROR((COUNTIFS(tblPresences[Étudiant],C95,tblPresences[Statut],"P")+COUNTIFS(tblPresences[Étudiant],C95,tblPresences[Statut],"R"))/COUNTIF(tblPresences[Étudiant],C95),""))</f>
        <v>0</v>
      </c>
      <c r="T95" s="27">
        <f>IF(C95="","",MAX(E95:P95))</f>
        <v>0</v>
      </c>
      <c r="U95" s="146">
        <f>IF(C95="","",IF(T95&gt;pSeuil,"⚠ ALERTE",""))</f>
        <v>0</v>
      </c>
    </row>
    <row r="96" spans="2:21">
      <c r="B96" s="147">
        <f>IF(C96="","",90)</f>
        <v>0</v>
      </c>
      <c r="C96" s="32">
        <f>IFERROR(INDEX(tblEtudiants[Nom et prénoms],90)&amp;"","")</f>
        <v>0</v>
      </c>
      <c r="D96" s="30">
        <f>IF(C96="","",INDEX(tblEtudiants[Groupe],90)&amp;"")</f>
        <v>0</v>
      </c>
      <c r="E96" s="30">
        <f>IF(OR($C96="",E$5=""),"",COUNTIFS(tblPresences[Étudiant],$C96,tblPresences[Code matière],E$5,tblPresences[Statut],"A"))</f>
        <v>0</v>
      </c>
      <c r="F96" s="30">
        <f>IF(OR($C96="",F$5=""),"",COUNTIFS(tblPresences[Étudiant],$C96,tblPresences[Code matière],F$5,tblPresences[Statut],"A"))</f>
        <v>0</v>
      </c>
      <c r="G96" s="30">
        <f>IF(OR($C96="",G$5=""),"",COUNTIFS(tblPresences[Étudiant],$C96,tblPresences[Code matière],G$5,tblPresences[Statut],"A"))</f>
        <v>0</v>
      </c>
      <c r="H96" s="30">
        <f>IF(OR($C96="",H$5=""),"",COUNTIFS(tblPresences[Étudiant],$C96,tblPresences[Code matière],H$5,tblPresences[Statut],"A"))</f>
        <v>0</v>
      </c>
      <c r="I96" s="30">
        <f>IF(OR($C96="",I$5=""),"",COUNTIFS(tblPresences[Étudiant],$C96,tblPresences[Code matière],I$5,tblPresences[Statut],"A"))</f>
        <v>0</v>
      </c>
      <c r="J96" s="30">
        <f>IF(OR($C96="",J$5=""),"",COUNTIFS(tblPresences[Étudiant],$C96,tblPresences[Code matière],J$5,tblPresences[Statut],"A"))</f>
        <v>0</v>
      </c>
      <c r="K96" s="30">
        <f>IF(OR($C96="",K$5=""),"",COUNTIFS(tblPresences[Étudiant],$C96,tblPresences[Code matière],K$5,tblPresences[Statut],"A"))</f>
        <v>0</v>
      </c>
      <c r="L96" s="30">
        <f>IF(OR($C96="",L$5=""),"",COUNTIFS(tblPresences[Étudiant],$C96,tblPresences[Code matière],L$5,tblPresences[Statut],"A"))</f>
        <v>0</v>
      </c>
      <c r="M96" s="30">
        <f>IF(OR($C96="",M$5=""),"",COUNTIFS(tblPresences[Étudiant],$C96,tblPresences[Code matière],M$5,tblPresences[Statut],"A"))</f>
        <v>0</v>
      </c>
      <c r="N96" s="30">
        <f>IF(OR($C96="",N$5=""),"",COUNTIFS(tblPresences[Étudiant],$C96,tblPresences[Code matière],N$5,tblPresences[Statut],"A"))</f>
        <v>0</v>
      </c>
      <c r="O96" s="30">
        <f>IF(OR($C96="",O$5=""),"",COUNTIFS(tblPresences[Étudiant],$C96,tblPresences[Code matière],O$5,tblPresences[Statut],"A"))</f>
        <v>0</v>
      </c>
      <c r="P96" s="30">
        <f>IF(OR($C96="",P$5=""),"",COUNTIFS(tblPresences[Étudiant],$C96,tblPresences[Code matière],P$5,tblPresences[Statut],"A"))</f>
        <v>0</v>
      </c>
      <c r="Q96" s="31">
        <f>IF(C96="","",SUM(E96:P96))</f>
        <v>0</v>
      </c>
      <c r="R96" s="30">
        <f>IF(C96="","",COUNTIFS(tblPresences[Étudiant],C96,tblPresences[Statut],"R"))</f>
        <v>0</v>
      </c>
      <c r="S96" s="124">
        <f>IF(C96="","",IFERROR((COUNTIFS(tblPresences[Étudiant],C96,tblPresences[Statut],"P")+COUNTIFS(tblPresences[Étudiant],C96,tblPresences[Statut],"R"))/COUNTIF(tblPresences[Étudiant],C96),""))</f>
        <v>0</v>
      </c>
      <c r="T96" s="30">
        <f>IF(C96="","",MAX(E96:P96))</f>
        <v>0</v>
      </c>
      <c r="U96" s="148">
        <f>IF(C96="","",IF(T96&gt;pSeuil,"⚠ ALERTE",""))</f>
        <v>0</v>
      </c>
    </row>
    <row r="97" spans="2:21">
      <c r="B97" s="145">
        <f>IF(C97="","",91)</f>
        <v>0</v>
      </c>
      <c r="C97" s="29">
        <f>IFERROR(INDEX(tblEtudiants[Nom et prénoms],91)&amp;"","")</f>
        <v>0</v>
      </c>
      <c r="D97" s="27">
        <f>IF(C97="","",INDEX(tblEtudiants[Groupe],91)&amp;"")</f>
        <v>0</v>
      </c>
      <c r="E97" s="27">
        <f>IF(OR($C97="",E$5=""),"",COUNTIFS(tblPresences[Étudiant],$C97,tblPresences[Code matière],E$5,tblPresences[Statut],"A"))</f>
        <v>0</v>
      </c>
      <c r="F97" s="27">
        <f>IF(OR($C97="",F$5=""),"",COUNTIFS(tblPresences[Étudiant],$C97,tblPresences[Code matière],F$5,tblPresences[Statut],"A"))</f>
        <v>0</v>
      </c>
      <c r="G97" s="27">
        <f>IF(OR($C97="",G$5=""),"",COUNTIFS(tblPresences[Étudiant],$C97,tblPresences[Code matière],G$5,tblPresences[Statut],"A"))</f>
        <v>0</v>
      </c>
      <c r="H97" s="27">
        <f>IF(OR($C97="",H$5=""),"",COUNTIFS(tblPresences[Étudiant],$C97,tblPresences[Code matière],H$5,tblPresences[Statut],"A"))</f>
        <v>0</v>
      </c>
      <c r="I97" s="27">
        <f>IF(OR($C97="",I$5=""),"",COUNTIFS(tblPresences[Étudiant],$C97,tblPresences[Code matière],I$5,tblPresences[Statut],"A"))</f>
        <v>0</v>
      </c>
      <c r="J97" s="27">
        <f>IF(OR($C97="",J$5=""),"",COUNTIFS(tblPresences[Étudiant],$C97,tblPresences[Code matière],J$5,tblPresences[Statut],"A"))</f>
        <v>0</v>
      </c>
      <c r="K97" s="27">
        <f>IF(OR($C97="",K$5=""),"",COUNTIFS(tblPresences[Étudiant],$C97,tblPresences[Code matière],K$5,tblPresences[Statut],"A"))</f>
        <v>0</v>
      </c>
      <c r="L97" s="27">
        <f>IF(OR($C97="",L$5=""),"",COUNTIFS(tblPresences[Étudiant],$C97,tblPresences[Code matière],L$5,tblPresences[Statut],"A"))</f>
        <v>0</v>
      </c>
      <c r="M97" s="27">
        <f>IF(OR($C97="",M$5=""),"",COUNTIFS(tblPresences[Étudiant],$C97,tblPresences[Code matière],M$5,tblPresences[Statut],"A"))</f>
        <v>0</v>
      </c>
      <c r="N97" s="27">
        <f>IF(OR($C97="",N$5=""),"",COUNTIFS(tblPresences[Étudiant],$C97,tblPresences[Code matière],N$5,tblPresences[Statut],"A"))</f>
        <v>0</v>
      </c>
      <c r="O97" s="27">
        <f>IF(OR($C97="",O$5=""),"",COUNTIFS(tblPresences[Étudiant],$C97,tblPresences[Code matière],O$5,tblPresences[Statut],"A"))</f>
        <v>0</v>
      </c>
      <c r="P97" s="27">
        <f>IF(OR($C97="",P$5=""),"",COUNTIFS(tblPresences[Étudiant],$C97,tblPresences[Code matière],P$5,tblPresences[Statut],"A"))</f>
        <v>0</v>
      </c>
      <c r="Q97" s="28">
        <f>IF(C97="","",SUM(E97:P97))</f>
        <v>0</v>
      </c>
      <c r="R97" s="27">
        <f>IF(C97="","",COUNTIFS(tblPresences[Étudiant],C97,tblPresences[Statut],"R"))</f>
        <v>0</v>
      </c>
      <c r="S97" s="123">
        <f>IF(C97="","",IFERROR((COUNTIFS(tblPresences[Étudiant],C97,tblPresences[Statut],"P")+COUNTIFS(tblPresences[Étudiant],C97,tblPresences[Statut],"R"))/COUNTIF(tblPresences[Étudiant],C97),""))</f>
        <v>0</v>
      </c>
      <c r="T97" s="27">
        <f>IF(C97="","",MAX(E97:P97))</f>
        <v>0</v>
      </c>
      <c r="U97" s="146">
        <f>IF(C97="","",IF(T97&gt;pSeuil,"⚠ ALERTE",""))</f>
        <v>0</v>
      </c>
    </row>
    <row r="98" spans="2:21">
      <c r="B98" s="147">
        <f>IF(C98="","",92)</f>
        <v>0</v>
      </c>
      <c r="C98" s="32">
        <f>IFERROR(INDEX(tblEtudiants[Nom et prénoms],92)&amp;"","")</f>
        <v>0</v>
      </c>
      <c r="D98" s="30">
        <f>IF(C98="","",INDEX(tblEtudiants[Groupe],92)&amp;"")</f>
        <v>0</v>
      </c>
      <c r="E98" s="30">
        <f>IF(OR($C98="",E$5=""),"",COUNTIFS(tblPresences[Étudiant],$C98,tblPresences[Code matière],E$5,tblPresences[Statut],"A"))</f>
        <v>0</v>
      </c>
      <c r="F98" s="30">
        <f>IF(OR($C98="",F$5=""),"",COUNTIFS(tblPresences[Étudiant],$C98,tblPresences[Code matière],F$5,tblPresences[Statut],"A"))</f>
        <v>0</v>
      </c>
      <c r="G98" s="30">
        <f>IF(OR($C98="",G$5=""),"",COUNTIFS(tblPresences[Étudiant],$C98,tblPresences[Code matière],G$5,tblPresences[Statut],"A"))</f>
        <v>0</v>
      </c>
      <c r="H98" s="30">
        <f>IF(OR($C98="",H$5=""),"",COUNTIFS(tblPresences[Étudiant],$C98,tblPresences[Code matière],H$5,tblPresences[Statut],"A"))</f>
        <v>0</v>
      </c>
      <c r="I98" s="30">
        <f>IF(OR($C98="",I$5=""),"",COUNTIFS(tblPresences[Étudiant],$C98,tblPresences[Code matière],I$5,tblPresences[Statut],"A"))</f>
        <v>0</v>
      </c>
      <c r="J98" s="30">
        <f>IF(OR($C98="",J$5=""),"",COUNTIFS(tblPresences[Étudiant],$C98,tblPresences[Code matière],J$5,tblPresences[Statut],"A"))</f>
        <v>0</v>
      </c>
      <c r="K98" s="30">
        <f>IF(OR($C98="",K$5=""),"",COUNTIFS(tblPresences[Étudiant],$C98,tblPresences[Code matière],K$5,tblPresences[Statut],"A"))</f>
        <v>0</v>
      </c>
      <c r="L98" s="30">
        <f>IF(OR($C98="",L$5=""),"",COUNTIFS(tblPresences[Étudiant],$C98,tblPresences[Code matière],L$5,tblPresences[Statut],"A"))</f>
        <v>0</v>
      </c>
      <c r="M98" s="30">
        <f>IF(OR($C98="",M$5=""),"",COUNTIFS(tblPresences[Étudiant],$C98,tblPresences[Code matière],M$5,tblPresences[Statut],"A"))</f>
        <v>0</v>
      </c>
      <c r="N98" s="30">
        <f>IF(OR($C98="",N$5=""),"",COUNTIFS(tblPresences[Étudiant],$C98,tblPresences[Code matière],N$5,tblPresences[Statut],"A"))</f>
        <v>0</v>
      </c>
      <c r="O98" s="30">
        <f>IF(OR($C98="",O$5=""),"",COUNTIFS(tblPresences[Étudiant],$C98,tblPresences[Code matière],O$5,tblPresences[Statut],"A"))</f>
        <v>0</v>
      </c>
      <c r="P98" s="30">
        <f>IF(OR($C98="",P$5=""),"",COUNTIFS(tblPresences[Étudiant],$C98,tblPresences[Code matière],P$5,tblPresences[Statut],"A"))</f>
        <v>0</v>
      </c>
      <c r="Q98" s="31">
        <f>IF(C98="","",SUM(E98:P98))</f>
        <v>0</v>
      </c>
      <c r="R98" s="30">
        <f>IF(C98="","",COUNTIFS(tblPresences[Étudiant],C98,tblPresences[Statut],"R"))</f>
        <v>0</v>
      </c>
      <c r="S98" s="124">
        <f>IF(C98="","",IFERROR((COUNTIFS(tblPresences[Étudiant],C98,tblPresences[Statut],"P")+COUNTIFS(tblPresences[Étudiant],C98,tblPresences[Statut],"R"))/COUNTIF(tblPresences[Étudiant],C98),""))</f>
        <v>0</v>
      </c>
      <c r="T98" s="30">
        <f>IF(C98="","",MAX(E98:P98))</f>
        <v>0</v>
      </c>
      <c r="U98" s="148">
        <f>IF(C98="","",IF(T98&gt;pSeuil,"⚠ ALERTE",""))</f>
        <v>0</v>
      </c>
    </row>
    <row r="99" spans="2:21">
      <c r="B99" s="145">
        <f>IF(C99="","",93)</f>
        <v>0</v>
      </c>
      <c r="C99" s="29">
        <f>IFERROR(INDEX(tblEtudiants[Nom et prénoms],93)&amp;"","")</f>
        <v>0</v>
      </c>
      <c r="D99" s="27">
        <f>IF(C99="","",INDEX(tblEtudiants[Groupe],93)&amp;"")</f>
        <v>0</v>
      </c>
      <c r="E99" s="27">
        <f>IF(OR($C99="",E$5=""),"",COUNTIFS(tblPresences[Étudiant],$C99,tblPresences[Code matière],E$5,tblPresences[Statut],"A"))</f>
        <v>0</v>
      </c>
      <c r="F99" s="27">
        <f>IF(OR($C99="",F$5=""),"",COUNTIFS(tblPresences[Étudiant],$C99,tblPresences[Code matière],F$5,tblPresences[Statut],"A"))</f>
        <v>0</v>
      </c>
      <c r="G99" s="27">
        <f>IF(OR($C99="",G$5=""),"",COUNTIFS(tblPresences[Étudiant],$C99,tblPresences[Code matière],G$5,tblPresences[Statut],"A"))</f>
        <v>0</v>
      </c>
      <c r="H99" s="27">
        <f>IF(OR($C99="",H$5=""),"",COUNTIFS(tblPresences[Étudiant],$C99,tblPresences[Code matière],H$5,tblPresences[Statut],"A"))</f>
        <v>0</v>
      </c>
      <c r="I99" s="27">
        <f>IF(OR($C99="",I$5=""),"",COUNTIFS(tblPresences[Étudiant],$C99,tblPresences[Code matière],I$5,tblPresences[Statut],"A"))</f>
        <v>0</v>
      </c>
      <c r="J99" s="27">
        <f>IF(OR($C99="",J$5=""),"",COUNTIFS(tblPresences[Étudiant],$C99,tblPresences[Code matière],J$5,tblPresences[Statut],"A"))</f>
        <v>0</v>
      </c>
      <c r="K99" s="27">
        <f>IF(OR($C99="",K$5=""),"",COUNTIFS(tblPresences[Étudiant],$C99,tblPresences[Code matière],K$5,tblPresences[Statut],"A"))</f>
        <v>0</v>
      </c>
      <c r="L99" s="27">
        <f>IF(OR($C99="",L$5=""),"",COUNTIFS(tblPresences[Étudiant],$C99,tblPresences[Code matière],L$5,tblPresences[Statut],"A"))</f>
        <v>0</v>
      </c>
      <c r="M99" s="27">
        <f>IF(OR($C99="",M$5=""),"",COUNTIFS(tblPresences[Étudiant],$C99,tblPresences[Code matière],M$5,tblPresences[Statut],"A"))</f>
        <v>0</v>
      </c>
      <c r="N99" s="27">
        <f>IF(OR($C99="",N$5=""),"",COUNTIFS(tblPresences[Étudiant],$C99,tblPresences[Code matière],N$5,tblPresences[Statut],"A"))</f>
        <v>0</v>
      </c>
      <c r="O99" s="27">
        <f>IF(OR($C99="",O$5=""),"",COUNTIFS(tblPresences[Étudiant],$C99,tblPresences[Code matière],O$5,tblPresences[Statut],"A"))</f>
        <v>0</v>
      </c>
      <c r="P99" s="27">
        <f>IF(OR($C99="",P$5=""),"",COUNTIFS(tblPresences[Étudiant],$C99,tblPresences[Code matière],P$5,tblPresences[Statut],"A"))</f>
        <v>0</v>
      </c>
      <c r="Q99" s="28">
        <f>IF(C99="","",SUM(E99:P99))</f>
        <v>0</v>
      </c>
      <c r="R99" s="27">
        <f>IF(C99="","",COUNTIFS(tblPresences[Étudiant],C99,tblPresences[Statut],"R"))</f>
        <v>0</v>
      </c>
      <c r="S99" s="123">
        <f>IF(C99="","",IFERROR((COUNTIFS(tblPresences[Étudiant],C99,tblPresences[Statut],"P")+COUNTIFS(tblPresences[Étudiant],C99,tblPresences[Statut],"R"))/COUNTIF(tblPresences[Étudiant],C99),""))</f>
        <v>0</v>
      </c>
      <c r="T99" s="27">
        <f>IF(C99="","",MAX(E99:P99))</f>
        <v>0</v>
      </c>
      <c r="U99" s="146">
        <f>IF(C99="","",IF(T99&gt;pSeuil,"⚠ ALERTE",""))</f>
        <v>0</v>
      </c>
    </row>
    <row r="100" spans="2:21">
      <c r="B100" s="147">
        <f>IF(C100="","",94)</f>
        <v>0</v>
      </c>
      <c r="C100" s="32">
        <f>IFERROR(INDEX(tblEtudiants[Nom et prénoms],94)&amp;"","")</f>
        <v>0</v>
      </c>
      <c r="D100" s="30">
        <f>IF(C100="","",INDEX(tblEtudiants[Groupe],94)&amp;"")</f>
        <v>0</v>
      </c>
      <c r="E100" s="30">
        <f>IF(OR($C100="",E$5=""),"",COUNTIFS(tblPresences[Étudiant],$C100,tblPresences[Code matière],E$5,tblPresences[Statut],"A"))</f>
        <v>0</v>
      </c>
      <c r="F100" s="30">
        <f>IF(OR($C100="",F$5=""),"",COUNTIFS(tblPresences[Étudiant],$C100,tblPresences[Code matière],F$5,tblPresences[Statut],"A"))</f>
        <v>0</v>
      </c>
      <c r="G100" s="30">
        <f>IF(OR($C100="",G$5=""),"",COUNTIFS(tblPresences[Étudiant],$C100,tblPresences[Code matière],G$5,tblPresences[Statut],"A"))</f>
        <v>0</v>
      </c>
      <c r="H100" s="30">
        <f>IF(OR($C100="",H$5=""),"",COUNTIFS(tblPresences[Étudiant],$C100,tblPresences[Code matière],H$5,tblPresences[Statut],"A"))</f>
        <v>0</v>
      </c>
      <c r="I100" s="30">
        <f>IF(OR($C100="",I$5=""),"",COUNTIFS(tblPresences[Étudiant],$C100,tblPresences[Code matière],I$5,tblPresences[Statut],"A"))</f>
        <v>0</v>
      </c>
      <c r="J100" s="30">
        <f>IF(OR($C100="",J$5=""),"",COUNTIFS(tblPresences[Étudiant],$C100,tblPresences[Code matière],J$5,tblPresences[Statut],"A"))</f>
        <v>0</v>
      </c>
      <c r="K100" s="30">
        <f>IF(OR($C100="",K$5=""),"",COUNTIFS(tblPresences[Étudiant],$C100,tblPresences[Code matière],K$5,tblPresences[Statut],"A"))</f>
        <v>0</v>
      </c>
      <c r="L100" s="30">
        <f>IF(OR($C100="",L$5=""),"",COUNTIFS(tblPresences[Étudiant],$C100,tblPresences[Code matière],L$5,tblPresences[Statut],"A"))</f>
        <v>0</v>
      </c>
      <c r="M100" s="30">
        <f>IF(OR($C100="",M$5=""),"",COUNTIFS(tblPresences[Étudiant],$C100,tblPresences[Code matière],M$5,tblPresences[Statut],"A"))</f>
        <v>0</v>
      </c>
      <c r="N100" s="30">
        <f>IF(OR($C100="",N$5=""),"",COUNTIFS(tblPresences[Étudiant],$C100,tblPresences[Code matière],N$5,tblPresences[Statut],"A"))</f>
        <v>0</v>
      </c>
      <c r="O100" s="30">
        <f>IF(OR($C100="",O$5=""),"",COUNTIFS(tblPresences[Étudiant],$C100,tblPresences[Code matière],O$5,tblPresences[Statut],"A"))</f>
        <v>0</v>
      </c>
      <c r="P100" s="30">
        <f>IF(OR($C100="",P$5=""),"",COUNTIFS(tblPresences[Étudiant],$C100,tblPresences[Code matière],P$5,tblPresences[Statut],"A"))</f>
        <v>0</v>
      </c>
      <c r="Q100" s="31">
        <f>IF(C100="","",SUM(E100:P100))</f>
        <v>0</v>
      </c>
      <c r="R100" s="30">
        <f>IF(C100="","",COUNTIFS(tblPresences[Étudiant],C100,tblPresences[Statut],"R"))</f>
        <v>0</v>
      </c>
      <c r="S100" s="124">
        <f>IF(C100="","",IFERROR((COUNTIFS(tblPresences[Étudiant],C100,tblPresences[Statut],"P")+COUNTIFS(tblPresences[Étudiant],C100,tblPresences[Statut],"R"))/COUNTIF(tblPresences[Étudiant],C100),""))</f>
        <v>0</v>
      </c>
      <c r="T100" s="30">
        <f>IF(C100="","",MAX(E100:P100))</f>
        <v>0</v>
      </c>
      <c r="U100" s="148">
        <f>IF(C100="","",IF(T100&gt;pSeuil,"⚠ ALERTE",""))</f>
        <v>0</v>
      </c>
    </row>
    <row r="101" spans="2:21">
      <c r="B101" s="145">
        <f>IF(C101="","",95)</f>
        <v>0</v>
      </c>
      <c r="C101" s="29">
        <f>IFERROR(INDEX(tblEtudiants[Nom et prénoms],95)&amp;"","")</f>
        <v>0</v>
      </c>
      <c r="D101" s="27">
        <f>IF(C101="","",INDEX(tblEtudiants[Groupe],95)&amp;"")</f>
        <v>0</v>
      </c>
      <c r="E101" s="27">
        <f>IF(OR($C101="",E$5=""),"",COUNTIFS(tblPresences[Étudiant],$C101,tblPresences[Code matière],E$5,tblPresences[Statut],"A"))</f>
        <v>0</v>
      </c>
      <c r="F101" s="27">
        <f>IF(OR($C101="",F$5=""),"",COUNTIFS(tblPresences[Étudiant],$C101,tblPresences[Code matière],F$5,tblPresences[Statut],"A"))</f>
        <v>0</v>
      </c>
      <c r="G101" s="27">
        <f>IF(OR($C101="",G$5=""),"",COUNTIFS(tblPresences[Étudiant],$C101,tblPresences[Code matière],G$5,tblPresences[Statut],"A"))</f>
        <v>0</v>
      </c>
      <c r="H101" s="27">
        <f>IF(OR($C101="",H$5=""),"",COUNTIFS(tblPresences[Étudiant],$C101,tblPresences[Code matière],H$5,tblPresences[Statut],"A"))</f>
        <v>0</v>
      </c>
      <c r="I101" s="27">
        <f>IF(OR($C101="",I$5=""),"",COUNTIFS(tblPresences[Étudiant],$C101,tblPresences[Code matière],I$5,tblPresences[Statut],"A"))</f>
        <v>0</v>
      </c>
      <c r="J101" s="27">
        <f>IF(OR($C101="",J$5=""),"",COUNTIFS(tblPresences[Étudiant],$C101,tblPresences[Code matière],J$5,tblPresences[Statut],"A"))</f>
        <v>0</v>
      </c>
      <c r="K101" s="27">
        <f>IF(OR($C101="",K$5=""),"",COUNTIFS(tblPresences[Étudiant],$C101,tblPresences[Code matière],K$5,tblPresences[Statut],"A"))</f>
        <v>0</v>
      </c>
      <c r="L101" s="27">
        <f>IF(OR($C101="",L$5=""),"",COUNTIFS(tblPresences[Étudiant],$C101,tblPresences[Code matière],L$5,tblPresences[Statut],"A"))</f>
        <v>0</v>
      </c>
      <c r="M101" s="27">
        <f>IF(OR($C101="",M$5=""),"",COUNTIFS(tblPresences[Étudiant],$C101,tblPresences[Code matière],M$5,tblPresences[Statut],"A"))</f>
        <v>0</v>
      </c>
      <c r="N101" s="27">
        <f>IF(OR($C101="",N$5=""),"",COUNTIFS(tblPresences[Étudiant],$C101,tblPresences[Code matière],N$5,tblPresences[Statut],"A"))</f>
        <v>0</v>
      </c>
      <c r="O101" s="27">
        <f>IF(OR($C101="",O$5=""),"",COUNTIFS(tblPresences[Étudiant],$C101,tblPresences[Code matière],O$5,tblPresences[Statut],"A"))</f>
        <v>0</v>
      </c>
      <c r="P101" s="27">
        <f>IF(OR($C101="",P$5=""),"",COUNTIFS(tblPresences[Étudiant],$C101,tblPresences[Code matière],P$5,tblPresences[Statut],"A"))</f>
        <v>0</v>
      </c>
      <c r="Q101" s="28">
        <f>IF(C101="","",SUM(E101:P101))</f>
        <v>0</v>
      </c>
      <c r="R101" s="27">
        <f>IF(C101="","",COUNTIFS(tblPresences[Étudiant],C101,tblPresences[Statut],"R"))</f>
        <v>0</v>
      </c>
      <c r="S101" s="123">
        <f>IF(C101="","",IFERROR((COUNTIFS(tblPresences[Étudiant],C101,tblPresences[Statut],"P")+COUNTIFS(tblPresences[Étudiant],C101,tblPresences[Statut],"R"))/COUNTIF(tblPresences[Étudiant],C101),""))</f>
        <v>0</v>
      </c>
      <c r="T101" s="27">
        <f>IF(C101="","",MAX(E101:P101))</f>
        <v>0</v>
      </c>
      <c r="U101" s="146">
        <f>IF(C101="","",IF(T101&gt;pSeuil,"⚠ ALERTE",""))</f>
        <v>0</v>
      </c>
    </row>
    <row r="102" spans="2:21">
      <c r="B102" s="147">
        <f>IF(C102="","",96)</f>
        <v>0</v>
      </c>
      <c r="C102" s="32">
        <f>IFERROR(INDEX(tblEtudiants[Nom et prénoms],96)&amp;"","")</f>
        <v>0</v>
      </c>
      <c r="D102" s="30">
        <f>IF(C102="","",INDEX(tblEtudiants[Groupe],96)&amp;"")</f>
        <v>0</v>
      </c>
      <c r="E102" s="30">
        <f>IF(OR($C102="",E$5=""),"",COUNTIFS(tblPresences[Étudiant],$C102,tblPresences[Code matière],E$5,tblPresences[Statut],"A"))</f>
        <v>0</v>
      </c>
      <c r="F102" s="30">
        <f>IF(OR($C102="",F$5=""),"",COUNTIFS(tblPresences[Étudiant],$C102,tblPresences[Code matière],F$5,tblPresences[Statut],"A"))</f>
        <v>0</v>
      </c>
      <c r="G102" s="30">
        <f>IF(OR($C102="",G$5=""),"",COUNTIFS(tblPresences[Étudiant],$C102,tblPresences[Code matière],G$5,tblPresences[Statut],"A"))</f>
        <v>0</v>
      </c>
      <c r="H102" s="30">
        <f>IF(OR($C102="",H$5=""),"",COUNTIFS(tblPresences[Étudiant],$C102,tblPresences[Code matière],H$5,tblPresences[Statut],"A"))</f>
        <v>0</v>
      </c>
      <c r="I102" s="30">
        <f>IF(OR($C102="",I$5=""),"",COUNTIFS(tblPresences[Étudiant],$C102,tblPresences[Code matière],I$5,tblPresences[Statut],"A"))</f>
        <v>0</v>
      </c>
      <c r="J102" s="30">
        <f>IF(OR($C102="",J$5=""),"",COUNTIFS(tblPresences[Étudiant],$C102,tblPresences[Code matière],J$5,tblPresences[Statut],"A"))</f>
        <v>0</v>
      </c>
      <c r="K102" s="30">
        <f>IF(OR($C102="",K$5=""),"",COUNTIFS(tblPresences[Étudiant],$C102,tblPresences[Code matière],K$5,tblPresences[Statut],"A"))</f>
        <v>0</v>
      </c>
      <c r="L102" s="30">
        <f>IF(OR($C102="",L$5=""),"",COUNTIFS(tblPresences[Étudiant],$C102,tblPresences[Code matière],L$5,tblPresences[Statut],"A"))</f>
        <v>0</v>
      </c>
      <c r="M102" s="30">
        <f>IF(OR($C102="",M$5=""),"",COUNTIFS(tblPresences[Étudiant],$C102,tblPresences[Code matière],M$5,tblPresences[Statut],"A"))</f>
        <v>0</v>
      </c>
      <c r="N102" s="30">
        <f>IF(OR($C102="",N$5=""),"",COUNTIFS(tblPresences[Étudiant],$C102,tblPresences[Code matière],N$5,tblPresences[Statut],"A"))</f>
        <v>0</v>
      </c>
      <c r="O102" s="30">
        <f>IF(OR($C102="",O$5=""),"",COUNTIFS(tblPresences[Étudiant],$C102,tblPresences[Code matière],O$5,tblPresences[Statut],"A"))</f>
        <v>0</v>
      </c>
      <c r="P102" s="30">
        <f>IF(OR($C102="",P$5=""),"",COUNTIFS(tblPresences[Étudiant],$C102,tblPresences[Code matière],P$5,tblPresences[Statut],"A"))</f>
        <v>0</v>
      </c>
      <c r="Q102" s="31">
        <f>IF(C102="","",SUM(E102:P102))</f>
        <v>0</v>
      </c>
      <c r="R102" s="30">
        <f>IF(C102="","",COUNTIFS(tblPresences[Étudiant],C102,tblPresences[Statut],"R"))</f>
        <v>0</v>
      </c>
      <c r="S102" s="124">
        <f>IF(C102="","",IFERROR((COUNTIFS(tblPresences[Étudiant],C102,tblPresences[Statut],"P")+COUNTIFS(tblPresences[Étudiant],C102,tblPresences[Statut],"R"))/COUNTIF(tblPresences[Étudiant],C102),""))</f>
        <v>0</v>
      </c>
      <c r="T102" s="30">
        <f>IF(C102="","",MAX(E102:P102))</f>
        <v>0</v>
      </c>
      <c r="U102" s="148">
        <f>IF(C102="","",IF(T102&gt;pSeuil,"⚠ ALERTE",""))</f>
        <v>0</v>
      </c>
    </row>
    <row r="103" spans="2:21">
      <c r="B103" s="145">
        <f>IF(C103="","",97)</f>
        <v>0</v>
      </c>
      <c r="C103" s="29">
        <f>IFERROR(INDEX(tblEtudiants[Nom et prénoms],97)&amp;"","")</f>
        <v>0</v>
      </c>
      <c r="D103" s="27">
        <f>IF(C103="","",INDEX(tblEtudiants[Groupe],97)&amp;"")</f>
        <v>0</v>
      </c>
      <c r="E103" s="27">
        <f>IF(OR($C103="",E$5=""),"",COUNTIFS(tblPresences[Étudiant],$C103,tblPresences[Code matière],E$5,tblPresences[Statut],"A"))</f>
        <v>0</v>
      </c>
      <c r="F103" s="27">
        <f>IF(OR($C103="",F$5=""),"",COUNTIFS(tblPresences[Étudiant],$C103,tblPresences[Code matière],F$5,tblPresences[Statut],"A"))</f>
        <v>0</v>
      </c>
      <c r="G103" s="27">
        <f>IF(OR($C103="",G$5=""),"",COUNTIFS(tblPresences[Étudiant],$C103,tblPresences[Code matière],G$5,tblPresences[Statut],"A"))</f>
        <v>0</v>
      </c>
      <c r="H103" s="27">
        <f>IF(OR($C103="",H$5=""),"",COUNTIFS(tblPresences[Étudiant],$C103,tblPresences[Code matière],H$5,tblPresences[Statut],"A"))</f>
        <v>0</v>
      </c>
      <c r="I103" s="27">
        <f>IF(OR($C103="",I$5=""),"",COUNTIFS(tblPresences[Étudiant],$C103,tblPresences[Code matière],I$5,tblPresences[Statut],"A"))</f>
        <v>0</v>
      </c>
      <c r="J103" s="27">
        <f>IF(OR($C103="",J$5=""),"",COUNTIFS(tblPresences[Étudiant],$C103,tblPresences[Code matière],J$5,tblPresences[Statut],"A"))</f>
        <v>0</v>
      </c>
      <c r="K103" s="27">
        <f>IF(OR($C103="",K$5=""),"",COUNTIFS(tblPresences[Étudiant],$C103,tblPresences[Code matière],K$5,tblPresences[Statut],"A"))</f>
        <v>0</v>
      </c>
      <c r="L103" s="27">
        <f>IF(OR($C103="",L$5=""),"",COUNTIFS(tblPresences[Étudiant],$C103,tblPresences[Code matière],L$5,tblPresences[Statut],"A"))</f>
        <v>0</v>
      </c>
      <c r="M103" s="27">
        <f>IF(OR($C103="",M$5=""),"",COUNTIFS(tblPresences[Étudiant],$C103,tblPresences[Code matière],M$5,tblPresences[Statut],"A"))</f>
        <v>0</v>
      </c>
      <c r="N103" s="27">
        <f>IF(OR($C103="",N$5=""),"",COUNTIFS(tblPresences[Étudiant],$C103,tblPresences[Code matière],N$5,tblPresences[Statut],"A"))</f>
        <v>0</v>
      </c>
      <c r="O103" s="27">
        <f>IF(OR($C103="",O$5=""),"",COUNTIFS(tblPresences[Étudiant],$C103,tblPresences[Code matière],O$5,tblPresences[Statut],"A"))</f>
        <v>0</v>
      </c>
      <c r="P103" s="27">
        <f>IF(OR($C103="",P$5=""),"",COUNTIFS(tblPresences[Étudiant],$C103,tblPresences[Code matière],P$5,tblPresences[Statut],"A"))</f>
        <v>0</v>
      </c>
      <c r="Q103" s="28">
        <f>IF(C103="","",SUM(E103:P103))</f>
        <v>0</v>
      </c>
      <c r="R103" s="27">
        <f>IF(C103="","",COUNTIFS(tblPresences[Étudiant],C103,tblPresences[Statut],"R"))</f>
        <v>0</v>
      </c>
      <c r="S103" s="123">
        <f>IF(C103="","",IFERROR((COUNTIFS(tblPresences[Étudiant],C103,tblPresences[Statut],"P")+COUNTIFS(tblPresences[Étudiant],C103,tblPresences[Statut],"R"))/COUNTIF(tblPresences[Étudiant],C103),""))</f>
        <v>0</v>
      </c>
      <c r="T103" s="27">
        <f>IF(C103="","",MAX(E103:P103))</f>
        <v>0</v>
      </c>
      <c r="U103" s="146">
        <f>IF(C103="","",IF(T103&gt;pSeuil,"⚠ ALERTE",""))</f>
        <v>0</v>
      </c>
    </row>
    <row r="104" spans="2:21">
      <c r="B104" s="147">
        <f>IF(C104="","",98)</f>
        <v>0</v>
      </c>
      <c r="C104" s="32">
        <f>IFERROR(INDEX(tblEtudiants[Nom et prénoms],98)&amp;"","")</f>
        <v>0</v>
      </c>
      <c r="D104" s="30">
        <f>IF(C104="","",INDEX(tblEtudiants[Groupe],98)&amp;"")</f>
        <v>0</v>
      </c>
      <c r="E104" s="30">
        <f>IF(OR($C104="",E$5=""),"",COUNTIFS(tblPresences[Étudiant],$C104,tblPresences[Code matière],E$5,tblPresences[Statut],"A"))</f>
        <v>0</v>
      </c>
      <c r="F104" s="30">
        <f>IF(OR($C104="",F$5=""),"",COUNTIFS(tblPresences[Étudiant],$C104,tblPresences[Code matière],F$5,tblPresences[Statut],"A"))</f>
        <v>0</v>
      </c>
      <c r="G104" s="30">
        <f>IF(OR($C104="",G$5=""),"",COUNTIFS(tblPresences[Étudiant],$C104,tblPresences[Code matière],G$5,tblPresences[Statut],"A"))</f>
        <v>0</v>
      </c>
      <c r="H104" s="30">
        <f>IF(OR($C104="",H$5=""),"",COUNTIFS(tblPresences[Étudiant],$C104,tblPresences[Code matière],H$5,tblPresences[Statut],"A"))</f>
        <v>0</v>
      </c>
      <c r="I104" s="30">
        <f>IF(OR($C104="",I$5=""),"",COUNTIFS(tblPresences[Étudiant],$C104,tblPresences[Code matière],I$5,tblPresences[Statut],"A"))</f>
        <v>0</v>
      </c>
      <c r="J104" s="30">
        <f>IF(OR($C104="",J$5=""),"",COUNTIFS(tblPresences[Étudiant],$C104,tblPresences[Code matière],J$5,tblPresences[Statut],"A"))</f>
        <v>0</v>
      </c>
      <c r="K104" s="30">
        <f>IF(OR($C104="",K$5=""),"",COUNTIFS(tblPresences[Étudiant],$C104,tblPresences[Code matière],K$5,tblPresences[Statut],"A"))</f>
        <v>0</v>
      </c>
      <c r="L104" s="30">
        <f>IF(OR($C104="",L$5=""),"",COUNTIFS(tblPresences[Étudiant],$C104,tblPresences[Code matière],L$5,tblPresences[Statut],"A"))</f>
        <v>0</v>
      </c>
      <c r="M104" s="30">
        <f>IF(OR($C104="",M$5=""),"",COUNTIFS(tblPresences[Étudiant],$C104,tblPresences[Code matière],M$5,tblPresences[Statut],"A"))</f>
        <v>0</v>
      </c>
      <c r="N104" s="30">
        <f>IF(OR($C104="",N$5=""),"",COUNTIFS(tblPresences[Étudiant],$C104,tblPresences[Code matière],N$5,tblPresences[Statut],"A"))</f>
        <v>0</v>
      </c>
      <c r="O104" s="30">
        <f>IF(OR($C104="",O$5=""),"",COUNTIFS(tblPresences[Étudiant],$C104,tblPresences[Code matière],O$5,tblPresences[Statut],"A"))</f>
        <v>0</v>
      </c>
      <c r="P104" s="30">
        <f>IF(OR($C104="",P$5=""),"",COUNTIFS(tblPresences[Étudiant],$C104,tblPresences[Code matière],P$5,tblPresences[Statut],"A"))</f>
        <v>0</v>
      </c>
      <c r="Q104" s="31">
        <f>IF(C104="","",SUM(E104:P104))</f>
        <v>0</v>
      </c>
      <c r="R104" s="30">
        <f>IF(C104="","",COUNTIFS(tblPresences[Étudiant],C104,tblPresences[Statut],"R"))</f>
        <v>0</v>
      </c>
      <c r="S104" s="124">
        <f>IF(C104="","",IFERROR((COUNTIFS(tblPresences[Étudiant],C104,tblPresences[Statut],"P")+COUNTIFS(tblPresences[Étudiant],C104,tblPresences[Statut],"R"))/COUNTIF(tblPresences[Étudiant],C104),""))</f>
        <v>0</v>
      </c>
      <c r="T104" s="30">
        <f>IF(C104="","",MAX(E104:P104))</f>
        <v>0</v>
      </c>
      <c r="U104" s="148">
        <f>IF(C104="","",IF(T104&gt;pSeuil,"⚠ ALERTE",""))</f>
        <v>0</v>
      </c>
    </row>
    <row r="105" spans="2:21">
      <c r="B105" s="145">
        <f>IF(C105="","",99)</f>
        <v>0</v>
      </c>
      <c r="C105" s="29">
        <f>IFERROR(INDEX(tblEtudiants[Nom et prénoms],99)&amp;"","")</f>
        <v>0</v>
      </c>
      <c r="D105" s="27">
        <f>IF(C105="","",INDEX(tblEtudiants[Groupe],99)&amp;"")</f>
        <v>0</v>
      </c>
      <c r="E105" s="27">
        <f>IF(OR($C105="",E$5=""),"",COUNTIFS(tblPresences[Étudiant],$C105,tblPresences[Code matière],E$5,tblPresences[Statut],"A"))</f>
        <v>0</v>
      </c>
      <c r="F105" s="27">
        <f>IF(OR($C105="",F$5=""),"",COUNTIFS(tblPresences[Étudiant],$C105,tblPresences[Code matière],F$5,tblPresences[Statut],"A"))</f>
        <v>0</v>
      </c>
      <c r="G105" s="27">
        <f>IF(OR($C105="",G$5=""),"",COUNTIFS(tblPresences[Étudiant],$C105,tblPresences[Code matière],G$5,tblPresences[Statut],"A"))</f>
        <v>0</v>
      </c>
      <c r="H105" s="27">
        <f>IF(OR($C105="",H$5=""),"",COUNTIFS(tblPresences[Étudiant],$C105,tblPresences[Code matière],H$5,tblPresences[Statut],"A"))</f>
        <v>0</v>
      </c>
      <c r="I105" s="27">
        <f>IF(OR($C105="",I$5=""),"",COUNTIFS(tblPresences[Étudiant],$C105,tblPresences[Code matière],I$5,tblPresences[Statut],"A"))</f>
        <v>0</v>
      </c>
      <c r="J105" s="27">
        <f>IF(OR($C105="",J$5=""),"",COUNTIFS(tblPresences[Étudiant],$C105,tblPresences[Code matière],J$5,tblPresences[Statut],"A"))</f>
        <v>0</v>
      </c>
      <c r="K105" s="27">
        <f>IF(OR($C105="",K$5=""),"",COUNTIFS(tblPresences[Étudiant],$C105,tblPresences[Code matière],K$5,tblPresences[Statut],"A"))</f>
        <v>0</v>
      </c>
      <c r="L105" s="27">
        <f>IF(OR($C105="",L$5=""),"",COUNTIFS(tblPresences[Étudiant],$C105,tblPresences[Code matière],L$5,tblPresences[Statut],"A"))</f>
        <v>0</v>
      </c>
      <c r="M105" s="27">
        <f>IF(OR($C105="",M$5=""),"",COUNTIFS(tblPresences[Étudiant],$C105,tblPresences[Code matière],M$5,tblPresences[Statut],"A"))</f>
        <v>0</v>
      </c>
      <c r="N105" s="27">
        <f>IF(OR($C105="",N$5=""),"",COUNTIFS(tblPresences[Étudiant],$C105,tblPresences[Code matière],N$5,tblPresences[Statut],"A"))</f>
        <v>0</v>
      </c>
      <c r="O105" s="27">
        <f>IF(OR($C105="",O$5=""),"",COUNTIFS(tblPresences[Étudiant],$C105,tblPresences[Code matière],O$5,tblPresences[Statut],"A"))</f>
        <v>0</v>
      </c>
      <c r="P105" s="27">
        <f>IF(OR($C105="",P$5=""),"",COUNTIFS(tblPresences[Étudiant],$C105,tblPresences[Code matière],P$5,tblPresences[Statut],"A"))</f>
        <v>0</v>
      </c>
      <c r="Q105" s="28">
        <f>IF(C105="","",SUM(E105:P105))</f>
        <v>0</v>
      </c>
      <c r="R105" s="27">
        <f>IF(C105="","",COUNTIFS(tblPresences[Étudiant],C105,tblPresences[Statut],"R"))</f>
        <v>0</v>
      </c>
      <c r="S105" s="123">
        <f>IF(C105="","",IFERROR((COUNTIFS(tblPresences[Étudiant],C105,tblPresences[Statut],"P")+COUNTIFS(tblPresences[Étudiant],C105,tblPresences[Statut],"R"))/COUNTIF(tblPresences[Étudiant],C105),""))</f>
        <v>0</v>
      </c>
      <c r="T105" s="27">
        <f>IF(C105="","",MAX(E105:P105))</f>
        <v>0</v>
      </c>
      <c r="U105" s="146">
        <f>IF(C105="","",IF(T105&gt;pSeuil,"⚠ ALERTE",""))</f>
        <v>0</v>
      </c>
    </row>
    <row r="106" spans="2:21">
      <c r="B106" s="147">
        <f>IF(C106="","",100)</f>
        <v>0</v>
      </c>
      <c r="C106" s="32">
        <f>IFERROR(INDEX(tblEtudiants[Nom et prénoms],100)&amp;"","")</f>
        <v>0</v>
      </c>
      <c r="D106" s="30">
        <f>IF(C106="","",INDEX(tblEtudiants[Groupe],100)&amp;"")</f>
        <v>0</v>
      </c>
      <c r="E106" s="30">
        <f>IF(OR($C106="",E$5=""),"",COUNTIFS(tblPresences[Étudiant],$C106,tblPresences[Code matière],E$5,tblPresences[Statut],"A"))</f>
        <v>0</v>
      </c>
      <c r="F106" s="30">
        <f>IF(OR($C106="",F$5=""),"",COUNTIFS(tblPresences[Étudiant],$C106,tblPresences[Code matière],F$5,tblPresences[Statut],"A"))</f>
        <v>0</v>
      </c>
      <c r="G106" s="30">
        <f>IF(OR($C106="",G$5=""),"",COUNTIFS(tblPresences[Étudiant],$C106,tblPresences[Code matière],G$5,tblPresences[Statut],"A"))</f>
        <v>0</v>
      </c>
      <c r="H106" s="30">
        <f>IF(OR($C106="",H$5=""),"",COUNTIFS(tblPresences[Étudiant],$C106,tblPresences[Code matière],H$5,tblPresences[Statut],"A"))</f>
        <v>0</v>
      </c>
      <c r="I106" s="30">
        <f>IF(OR($C106="",I$5=""),"",COUNTIFS(tblPresences[Étudiant],$C106,tblPresences[Code matière],I$5,tblPresences[Statut],"A"))</f>
        <v>0</v>
      </c>
      <c r="J106" s="30">
        <f>IF(OR($C106="",J$5=""),"",COUNTIFS(tblPresences[Étudiant],$C106,tblPresences[Code matière],J$5,tblPresences[Statut],"A"))</f>
        <v>0</v>
      </c>
      <c r="K106" s="30">
        <f>IF(OR($C106="",K$5=""),"",COUNTIFS(tblPresences[Étudiant],$C106,tblPresences[Code matière],K$5,tblPresences[Statut],"A"))</f>
        <v>0</v>
      </c>
      <c r="L106" s="30">
        <f>IF(OR($C106="",L$5=""),"",COUNTIFS(tblPresences[Étudiant],$C106,tblPresences[Code matière],L$5,tblPresences[Statut],"A"))</f>
        <v>0</v>
      </c>
      <c r="M106" s="30">
        <f>IF(OR($C106="",M$5=""),"",COUNTIFS(tblPresences[Étudiant],$C106,tblPresences[Code matière],M$5,tblPresences[Statut],"A"))</f>
        <v>0</v>
      </c>
      <c r="N106" s="30">
        <f>IF(OR($C106="",N$5=""),"",COUNTIFS(tblPresences[Étudiant],$C106,tblPresences[Code matière],N$5,tblPresences[Statut],"A"))</f>
        <v>0</v>
      </c>
      <c r="O106" s="30">
        <f>IF(OR($C106="",O$5=""),"",COUNTIFS(tblPresences[Étudiant],$C106,tblPresences[Code matière],O$5,tblPresences[Statut],"A"))</f>
        <v>0</v>
      </c>
      <c r="P106" s="30">
        <f>IF(OR($C106="",P$5=""),"",COUNTIFS(tblPresences[Étudiant],$C106,tblPresences[Code matière],P$5,tblPresences[Statut],"A"))</f>
        <v>0</v>
      </c>
      <c r="Q106" s="31">
        <f>IF(C106="","",SUM(E106:P106))</f>
        <v>0</v>
      </c>
      <c r="R106" s="30">
        <f>IF(C106="","",COUNTIFS(tblPresences[Étudiant],C106,tblPresences[Statut],"R"))</f>
        <v>0</v>
      </c>
      <c r="S106" s="124">
        <f>IF(C106="","",IFERROR((COUNTIFS(tblPresences[Étudiant],C106,tblPresences[Statut],"P")+COUNTIFS(tblPresences[Étudiant],C106,tblPresences[Statut],"R"))/COUNTIF(tblPresences[Étudiant],C106),""))</f>
        <v>0</v>
      </c>
      <c r="T106" s="30">
        <f>IF(C106="","",MAX(E106:P106))</f>
        <v>0</v>
      </c>
      <c r="U106" s="148">
        <f>IF(C106="","",IF(T106&gt;pSeuil,"⚠ ALERTE",""))</f>
        <v>0</v>
      </c>
    </row>
    <row r="107" spans="2:21">
      <c r="B107" s="145">
        <f>IF(C107="","",101)</f>
        <v>0</v>
      </c>
      <c r="C107" s="29">
        <f>IFERROR(INDEX(tblEtudiants[Nom et prénoms],101)&amp;"","")</f>
        <v>0</v>
      </c>
      <c r="D107" s="27">
        <f>IF(C107="","",INDEX(tblEtudiants[Groupe],101)&amp;"")</f>
        <v>0</v>
      </c>
      <c r="E107" s="27">
        <f>IF(OR($C107="",E$5=""),"",COUNTIFS(tblPresences[Étudiant],$C107,tblPresences[Code matière],E$5,tblPresences[Statut],"A"))</f>
        <v>0</v>
      </c>
      <c r="F107" s="27">
        <f>IF(OR($C107="",F$5=""),"",COUNTIFS(tblPresences[Étudiant],$C107,tblPresences[Code matière],F$5,tblPresences[Statut],"A"))</f>
        <v>0</v>
      </c>
      <c r="G107" s="27">
        <f>IF(OR($C107="",G$5=""),"",COUNTIFS(tblPresences[Étudiant],$C107,tblPresences[Code matière],G$5,tblPresences[Statut],"A"))</f>
        <v>0</v>
      </c>
      <c r="H107" s="27">
        <f>IF(OR($C107="",H$5=""),"",COUNTIFS(tblPresences[Étudiant],$C107,tblPresences[Code matière],H$5,tblPresences[Statut],"A"))</f>
        <v>0</v>
      </c>
      <c r="I107" s="27">
        <f>IF(OR($C107="",I$5=""),"",COUNTIFS(tblPresences[Étudiant],$C107,tblPresences[Code matière],I$5,tblPresences[Statut],"A"))</f>
        <v>0</v>
      </c>
      <c r="J107" s="27">
        <f>IF(OR($C107="",J$5=""),"",COUNTIFS(tblPresences[Étudiant],$C107,tblPresences[Code matière],J$5,tblPresences[Statut],"A"))</f>
        <v>0</v>
      </c>
      <c r="K107" s="27">
        <f>IF(OR($C107="",K$5=""),"",COUNTIFS(tblPresences[Étudiant],$C107,tblPresences[Code matière],K$5,tblPresences[Statut],"A"))</f>
        <v>0</v>
      </c>
      <c r="L107" s="27">
        <f>IF(OR($C107="",L$5=""),"",COUNTIFS(tblPresences[Étudiant],$C107,tblPresences[Code matière],L$5,tblPresences[Statut],"A"))</f>
        <v>0</v>
      </c>
      <c r="M107" s="27">
        <f>IF(OR($C107="",M$5=""),"",COUNTIFS(tblPresences[Étudiant],$C107,tblPresences[Code matière],M$5,tblPresences[Statut],"A"))</f>
        <v>0</v>
      </c>
      <c r="N107" s="27">
        <f>IF(OR($C107="",N$5=""),"",COUNTIFS(tblPresences[Étudiant],$C107,tblPresences[Code matière],N$5,tblPresences[Statut],"A"))</f>
        <v>0</v>
      </c>
      <c r="O107" s="27">
        <f>IF(OR($C107="",O$5=""),"",COUNTIFS(tblPresences[Étudiant],$C107,tblPresences[Code matière],O$5,tblPresences[Statut],"A"))</f>
        <v>0</v>
      </c>
      <c r="P107" s="27">
        <f>IF(OR($C107="",P$5=""),"",COUNTIFS(tblPresences[Étudiant],$C107,tblPresences[Code matière],P$5,tblPresences[Statut],"A"))</f>
        <v>0</v>
      </c>
      <c r="Q107" s="28">
        <f>IF(C107="","",SUM(E107:P107))</f>
        <v>0</v>
      </c>
      <c r="R107" s="27">
        <f>IF(C107="","",COUNTIFS(tblPresences[Étudiant],C107,tblPresences[Statut],"R"))</f>
        <v>0</v>
      </c>
      <c r="S107" s="123">
        <f>IF(C107="","",IFERROR((COUNTIFS(tblPresences[Étudiant],C107,tblPresences[Statut],"P")+COUNTIFS(tblPresences[Étudiant],C107,tblPresences[Statut],"R"))/COUNTIF(tblPresences[Étudiant],C107),""))</f>
        <v>0</v>
      </c>
      <c r="T107" s="27">
        <f>IF(C107="","",MAX(E107:P107))</f>
        <v>0</v>
      </c>
      <c r="U107" s="146">
        <f>IF(C107="","",IF(T107&gt;pSeuil,"⚠ ALERTE",""))</f>
        <v>0</v>
      </c>
    </row>
    <row r="108" spans="2:21">
      <c r="B108" s="147">
        <f>IF(C108="","",102)</f>
        <v>0</v>
      </c>
      <c r="C108" s="32">
        <f>IFERROR(INDEX(tblEtudiants[Nom et prénoms],102)&amp;"","")</f>
        <v>0</v>
      </c>
      <c r="D108" s="30">
        <f>IF(C108="","",INDEX(tblEtudiants[Groupe],102)&amp;"")</f>
        <v>0</v>
      </c>
      <c r="E108" s="30">
        <f>IF(OR($C108="",E$5=""),"",COUNTIFS(tblPresences[Étudiant],$C108,tblPresences[Code matière],E$5,tblPresences[Statut],"A"))</f>
        <v>0</v>
      </c>
      <c r="F108" s="30">
        <f>IF(OR($C108="",F$5=""),"",COUNTIFS(tblPresences[Étudiant],$C108,tblPresences[Code matière],F$5,tblPresences[Statut],"A"))</f>
        <v>0</v>
      </c>
      <c r="G108" s="30">
        <f>IF(OR($C108="",G$5=""),"",COUNTIFS(tblPresences[Étudiant],$C108,tblPresences[Code matière],G$5,tblPresences[Statut],"A"))</f>
        <v>0</v>
      </c>
      <c r="H108" s="30">
        <f>IF(OR($C108="",H$5=""),"",COUNTIFS(tblPresences[Étudiant],$C108,tblPresences[Code matière],H$5,tblPresences[Statut],"A"))</f>
        <v>0</v>
      </c>
      <c r="I108" s="30">
        <f>IF(OR($C108="",I$5=""),"",COUNTIFS(tblPresences[Étudiant],$C108,tblPresences[Code matière],I$5,tblPresences[Statut],"A"))</f>
        <v>0</v>
      </c>
      <c r="J108" s="30">
        <f>IF(OR($C108="",J$5=""),"",COUNTIFS(tblPresences[Étudiant],$C108,tblPresences[Code matière],J$5,tblPresences[Statut],"A"))</f>
        <v>0</v>
      </c>
      <c r="K108" s="30">
        <f>IF(OR($C108="",K$5=""),"",COUNTIFS(tblPresences[Étudiant],$C108,tblPresences[Code matière],K$5,tblPresences[Statut],"A"))</f>
        <v>0</v>
      </c>
      <c r="L108" s="30">
        <f>IF(OR($C108="",L$5=""),"",COUNTIFS(tblPresences[Étudiant],$C108,tblPresences[Code matière],L$5,tblPresences[Statut],"A"))</f>
        <v>0</v>
      </c>
      <c r="M108" s="30">
        <f>IF(OR($C108="",M$5=""),"",COUNTIFS(tblPresences[Étudiant],$C108,tblPresences[Code matière],M$5,tblPresences[Statut],"A"))</f>
        <v>0</v>
      </c>
      <c r="N108" s="30">
        <f>IF(OR($C108="",N$5=""),"",COUNTIFS(tblPresences[Étudiant],$C108,tblPresences[Code matière],N$5,tblPresences[Statut],"A"))</f>
        <v>0</v>
      </c>
      <c r="O108" s="30">
        <f>IF(OR($C108="",O$5=""),"",COUNTIFS(tblPresences[Étudiant],$C108,tblPresences[Code matière],O$5,tblPresences[Statut],"A"))</f>
        <v>0</v>
      </c>
      <c r="P108" s="30">
        <f>IF(OR($C108="",P$5=""),"",COUNTIFS(tblPresences[Étudiant],$C108,tblPresences[Code matière],P$5,tblPresences[Statut],"A"))</f>
        <v>0</v>
      </c>
      <c r="Q108" s="31">
        <f>IF(C108="","",SUM(E108:P108))</f>
        <v>0</v>
      </c>
      <c r="R108" s="30">
        <f>IF(C108="","",COUNTIFS(tblPresences[Étudiant],C108,tblPresences[Statut],"R"))</f>
        <v>0</v>
      </c>
      <c r="S108" s="124">
        <f>IF(C108="","",IFERROR((COUNTIFS(tblPresences[Étudiant],C108,tblPresences[Statut],"P")+COUNTIFS(tblPresences[Étudiant],C108,tblPresences[Statut],"R"))/COUNTIF(tblPresences[Étudiant],C108),""))</f>
        <v>0</v>
      </c>
      <c r="T108" s="30">
        <f>IF(C108="","",MAX(E108:P108))</f>
        <v>0</v>
      </c>
      <c r="U108" s="148">
        <f>IF(C108="","",IF(T108&gt;pSeuil,"⚠ ALERTE",""))</f>
        <v>0</v>
      </c>
    </row>
    <row r="109" spans="2:21">
      <c r="B109" s="145">
        <f>IF(C109="","",103)</f>
        <v>0</v>
      </c>
      <c r="C109" s="29">
        <f>IFERROR(INDEX(tblEtudiants[Nom et prénoms],103)&amp;"","")</f>
        <v>0</v>
      </c>
      <c r="D109" s="27">
        <f>IF(C109="","",INDEX(tblEtudiants[Groupe],103)&amp;"")</f>
        <v>0</v>
      </c>
      <c r="E109" s="27">
        <f>IF(OR($C109="",E$5=""),"",COUNTIFS(tblPresences[Étudiant],$C109,tblPresences[Code matière],E$5,tblPresences[Statut],"A"))</f>
        <v>0</v>
      </c>
      <c r="F109" s="27">
        <f>IF(OR($C109="",F$5=""),"",COUNTIFS(tblPresences[Étudiant],$C109,tblPresences[Code matière],F$5,tblPresences[Statut],"A"))</f>
        <v>0</v>
      </c>
      <c r="G109" s="27">
        <f>IF(OR($C109="",G$5=""),"",COUNTIFS(tblPresences[Étudiant],$C109,tblPresences[Code matière],G$5,tblPresences[Statut],"A"))</f>
        <v>0</v>
      </c>
      <c r="H109" s="27">
        <f>IF(OR($C109="",H$5=""),"",COUNTIFS(tblPresences[Étudiant],$C109,tblPresences[Code matière],H$5,tblPresences[Statut],"A"))</f>
        <v>0</v>
      </c>
      <c r="I109" s="27">
        <f>IF(OR($C109="",I$5=""),"",COUNTIFS(tblPresences[Étudiant],$C109,tblPresences[Code matière],I$5,tblPresences[Statut],"A"))</f>
        <v>0</v>
      </c>
      <c r="J109" s="27">
        <f>IF(OR($C109="",J$5=""),"",COUNTIFS(tblPresences[Étudiant],$C109,tblPresences[Code matière],J$5,tblPresences[Statut],"A"))</f>
        <v>0</v>
      </c>
      <c r="K109" s="27">
        <f>IF(OR($C109="",K$5=""),"",COUNTIFS(tblPresences[Étudiant],$C109,tblPresences[Code matière],K$5,tblPresences[Statut],"A"))</f>
        <v>0</v>
      </c>
      <c r="L109" s="27">
        <f>IF(OR($C109="",L$5=""),"",COUNTIFS(tblPresences[Étudiant],$C109,tblPresences[Code matière],L$5,tblPresences[Statut],"A"))</f>
        <v>0</v>
      </c>
      <c r="M109" s="27">
        <f>IF(OR($C109="",M$5=""),"",COUNTIFS(tblPresences[Étudiant],$C109,tblPresences[Code matière],M$5,tblPresences[Statut],"A"))</f>
        <v>0</v>
      </c>
      <c r="N109" s="27">
        <f>IF(OR($C109="",N$5=""),"",COUNTIFS(tblPresences[Étudiant],$C109,tblPresences[Code matière],N$5,tblPresences[Statut],"A"))</f>
        <v>0</v>
      </c>
      <c r="O109" s="27">
        <f>IF(OR($C109="",O$5=""),"",COUNTIFS(tblPresences[Étudiant],$C109,tblPresences[Code matière],O$5,tblPresences[Statut],"A"))</f>
        <v>0</v>
      </c>
      <c r="P109" s="27">
        <f>IF(OR($C109="",P$5=""),"",COUNTIFS(tblPresences[Étudiant],$C109,tblPresences[Code matière],P$5,tblPresences[Statut],"A"))</f>
        <v>0</v>
      </c>
      <c r="Q109" s="28">
        <f>IF(C109="","",SUM(E109:P109))</f>
        <v>0</v>
      </c>
      <c r="R109" s="27">
        <f>IF(C109="","",COUNTIFS(tblPresences[Étudiant],C109,tblPresences[Statut],"R"))</f>
        <v>0</v>
      </c>
      <c r="S109" s="123">
        <f>IF(C109="","",IFERROR((COUNTIFS(tblPresences[Étudiant],C109,tblPresences[Statut],"P")+COUNTIFS(tblPresences[Étudiant],C109,tblPresences[Statut],"R"))/COUNTIF(tblPresences[Étudiant],C109),""))</f>
        <v>0</v>
      </c>
      <c r="T109" s="27">
        <f>IF(C109="","",MAX(E109:P109))</f>
        <v>0</v>
      </c>
      <c r="U109" s="146">
        <f>IF(C109="","",IF(T109&gt;pSeuil,"⚠ ALERTE",""))</f>
        <v>0</v>
      </c>
    </row>
    <row r="110" spans="2:21">
      <c r="B110" s="147">
        <f>IF(C110="","",104)</f>
        <v>0</v>
      </c>
      <c r="C110" s="32">
        <f>IFERROR(INDEX(tblEtudiants[Nom et prénoms],104)&amp;"","")</f>
        <v>0</v>
      </c>
      <c r="D110" s="30">
        <f>IF(C110="","",INDEX(tblEtudiants[Groupe],104)&amp;"")</f>
        <v>0</v>
      </c>
      <c r="E110" s="30">
        <f>IF(OR($C110="",E$5=""),"",COUNTIFS(tblPresences[Étudiant],$C110,tblPresences[Code matière],E$5,tblPresences[Statut],"A"))</f>
        <v>0</v>
      </c>
      <c r="F110" s="30">
        <f>IF(OR($C110="",F$5=""),"",COUNTIFS(tblPresences[Étudiant],$C110,tblPresences[Code matière],F$5,tblPresences[Statut],"A"))</f>
        <v>0</v>
      </c>
      <c r="G110" s="30">
        <f>IF(OR($C110="",G$5=""),"",COUNTIFS(tblPresences[Étudiant],$C110,tblPresences[Code matière],G$5,tblPresences[Statut],"A"))</f>
        <v>0</v>
      </c>
      <c r="H110" s="30">
        <f>IF(OR($C110="",H$5=""),"",COUNTIFS(tblPresences[Étudiant],$C110,tblPresences[Code matière],H$5,tblPresences[Statut],"A"))</f>
        <v>0</v>
      </c>
      <c r="I110" s="30">
        <f>IF(OR($C110="",I$5=""),"",COUNTIFS(tblPresences[Étudiant],$C110,tblPresences[Code matière],I$5,tblPresences[Statut],"A"))</f>
        <v>0</v>
      </c>
      <c r="J110" s="30">
        <f>IF(OR($C110="",J$5=""),"",COUNTIFS(tblPresences[Étudiant],$C110,tblPresences[Code matière],J$5,tblPresences[Statut],"A"))</f>
        <v>0</v>
      </c>
      <c r="K110" s="30">
        <f>IF(OR($C110="",K$5=""),"",COUNTIFS(tblPresences[Étudiant],$C110,tblPresences[Code matière],K$5,tblPresences[Statut],"A"))</f>
        <v>0</v>
      </c>
      <c r="L110" s="30">
        <f>IF(OR($C110="",L$5=""),"",COUNTIFS(tblPresences[Étudiant],$C110,tblPresences[Code matière],L$5,tblPresences[Statut],"A"))</f>
        <v>0</v>
      </c>
      <c r="M110" s="30">
        <f>IF(OR($C110="",M$5=""),"",COUNTIFS(tblPresences[Étudiant],$C110,tblPresences[Code matière],M$5,tblPresences[Statut],"A"))</f>
        <v>0</v>
      </c>
      <c r="N110" s="30">
        <f>IF(OR($C110="",N$5=""),"",COUNTIFS(tblPresences[Étudiant],$C110,tblPresences[Code matière],N$5,tblPresences[Statut],"A"))</f>
        <v>0</v>
      </c>
      <c r="O110" s="30">
        <f>IF(OR($C110="",O$5=""),"",COUNTIFS(tblPresences[Étudiant],$C110,tblPresences[Code matière],O$5,tblPresences[Statut],"A"))</f>
        <v>0</v>
      </c>
      <c r="P110" s="30">
        <f>IF(OR($C110="",P$5=""),"",COUNTIFS(tblPresences[Étudiant],$C110,tblPresences[Code matière],P$5,tblPresences[Statut],"A"))</f>
        <v>0</v>
      </c>
      <c r="Q110" s="31">
        <f>IF(C110="","",SUM(E110:P110))</f>
        <v>0</v>
      </c>
      <c r="R110" s="30">
        <f>IF(C110="","",COUNTIFS(tblPresences[Étudiant],C110,tblPresences[Statut],"R"))</f>
        <v>0</v>
      </c>
      <c r="S110" s="124">
        <f>IF(C110="","",IFERROR((COUNTIFS(tblPresences[Étudiant],C110,tblPresences[Statut],"P")+COUNTIFS(tblPresences[Étudiant],C110,tblPresences[Statut],"R"))/COUNTIF(tblPresences[Étudiant],C110),""))</f>
        <v>0</v>
      </c>
      <c r="T110" s="30">
        <f>IF(C110="","",MAX(E110:P110))</f>
        <v>0</v>
      </c>
      <c r="U110" s="148">
        <f>IF(C110="","",IF(T110&gt;pSeuil,"⚠ ALERTE",""))</f>
        <v>0</v>
      </c>
    </row>
    <row r="111" spans="2:21">
      <c r="B111" s="145">
        <f>IF(C111="","",105)</f>
        <v>0</v>
      </c>
      <c r="C111" s="29">
        <f>IFERROR(INDEX(tblEtudiants[Nom et prénoms],105)&amp;"","")</f>
        <v>0</v>
      </c>
      <c r="D111" s="27">
        <f>IF(C111="","",INDEX(tblEtudiants[Groupe],105)&amp;"")</f>
        <v>0</v>
      </c>
      <c r="E111" s="27">
        <f>IF(OR($C111="",E$5=""),"",COUNTIFS(tblPresences[Étudiant],$C111,tblPresences[Code matière],E$5,tblPresences[Statut],"A"))</f>
        <v>0</v>
      </c>
      <c r="F111" s="27">
        <f>IF(OR($C111="",F$5=""),"",COUNTIFS(tblPresences[Étudiant],$C111,tblPresences[Code matière],F$5,tblPresences[Statut],"A"))</f>
        <v>0</v>
      </c>
      <c r="G111" s="27">
        <f>IF(OR($C111="",G$5=""),"",COUNTIFS(tblPresences[Étudiant],$C111,tblPresences[Code matière],G$5,tblPresences[Statut],"A"))</f>
        <v>0</v>
      </c>
      <c r="H111" s="27">
        <f>IF(OR($C111="",H$5=""),"",COUNTIFS(tblPresences[Étudiant],$C111,tblPresences[Code matière],H$5,tblPresences[Statut],"A"))</f>
        <v>0</v>
      </c>
      <c r="I111" s="27">
        <f>IF(OR($C111="",I$5=""),"",COUNTIFS(tblPresences[Étudiant],$C111,tblPresences[Code matière],I$5,tblPresences[Statut],"A"))</f>
        <v>0</v>
      </c>
      <c r="J111" s="27">
        <f>IF(OR($C111="",J$5=""),"",COUNTIFS(tblPresences[Étudiant],$C111,tblPresences[Code matière],J$5,tblPresences[Statut],"A"))</f>
        <v>0</v>
      </c>
      <c r="K111" s="27">
        <f>IF(OR($C111="",K$5=""),"",COUNTIFS(tblPresences[Étudiant],$C111,tblPresences[Code matière],K$5,tblPresences[Statut],"A"))</f>
        <v>0</v>
      </c>
      <c r="L111" s="27">
        <f>IF(OR($C111="",L$5=""),"",COUNTIFS(tblPresences[Étudiant],$C111,tblPresences[Code matière],L$5,tblPresences[Statut],"A"))</f>
        <v>0</v>
      </c>
      <c r="M111" s="27">
        <f>IF(OR($C111="",M$5=""),"",COUNTIFS(tblPresences[Étudiant],$C111,tblPresences[Code matière],M$5,tblPresences[Statut],"A"))</f>
        <v>0</v>
      </c>
      <c r="N111" s="27">
        <f>IF(OR($C111="",N$5=""),"",COUNTIFS(tblPresences[Étudiant],$C111,tblPresences[Code matière],N$5,tblPresences[Statut],"A"))</f>
        <v>0</v>
      </c>
      <c r="O111" s="27">
        <f>IF(OR($C111="",O$5=""),"",COUNTIFS(tblPresences[Étudiant],$C111,tblPresences[Code matière],O$5,tblPresences[Statut],"A"))</f>
        <v>0</v>
      </c>
      <c r="P111" s="27">
        <f>IF(OR($C111="",P$5=""),"",COUNTIFS(tblPresences[Étudiant],$C111,tblPresences[Code matière],P$5,tblPresences[Statut],"A"))</f>
        <v>0</v>
      </c>
      <c r="Q111" s="28">
        <f>IF(C111="","",SUM(E111:P111))</f>
        <v>0</v>
      </c>
      <c r="R111" s="27">
        <f>IF(C111="","",COUNTIFS(tblPresences[Étudiant],C111,tblPresences[Statut],"R"))</f>
        <v>0</v>
      </c>
      <c r="S111" s="123">
        <f>IF(C111="","",IFERROR((COUNTIFS(tblPresences[Étudiant],C111,tblPresences[Statut],"P")+COUNTIFS(tblPresences[Étudiant],C111,tblPresences[Statut],"R"))/COUNTIF(tblPresences[Étudiant],C111),""))</f>
        <v>0</v>
      </c>
      <c r="T111" s="27">
        <f>IF(C111="","",MAX(E111:P111))</f>
        <v>0</v>
      </c>
      <c r="U111" s="146">
        <f>IF(C111="","",IF(T111&gt;pSeuil,"⚠ ALERTE",""))</f>
        <v>0</v>
      </c>
    </row>
    <row r="112" spans="2:21">
      <c r="B112" s="147">
        <f>IF(C112="","",106)</f>
        <v>0</v>
      </c>
      <c r="C112" s="32">
        <f>IFERROR(INDEX(tblEtudiants[Nom et prénoms],106)&amp;"","")</f>
        <v>0</v>
      </c>
      <c r="D112" s="30">
        <f>IF(C112="","",INDEX(tblEtudiants[Groupe],106)&amp;"")</f>
        <v>0</v>
      </c>
      <c r="E112" s="30">
        <f>IF(OR($C112="",E$5=""),"",COUNTIFS(tblPresences[Étudiant],$C112,tblPresences[Code matière],E$5,tblPresences[Statut],"A"))</f>
        <v>0</v>
      </c>
      <c r="F112" s="30">
        <f>IF(OR($C112="",F$5=""),"",COUNTIFS(tblPresences[Étudiant],$C112,tblPresences[Code matière],F$5,tblPresences[Statut],"A"))</f>
        <v>0</v>
      </c>
      <c r="G112" s="30">
        <f>IF(OR($C112="",G$5=""),"",COUNTIFS(tblPresences[Étudiant],$C112,tblPresences[Code matière],G$5,tblPresences[Statut],"A"))</f>
        <v>0</v>
      </c>
      <c r="H112" s="30">
        <f>IF(OR($C112="",H$5=""),"",COUNTIFS(tblPresences[Étudiant],$C112,tblPresences[Code matière],H$5,tblPresences[Statut],"A"))</f>
        <v>0</v>
      </c>
      <c r="I112" s="30">
        <f>IF(OR($C112="",I$5=""),"",COUNTIFS(tblPresences[Étudiant],$C112,tblPresences[Code matière],I$5,tblPresences[Statut],"A"))</f>
        <v>0</v>
      </c>
      <c r="J112" s="30">
        <f>IF(OR($C112="",J$5=""),"",COUNTIFS(tblPresences[Étudiant],$C112,tblPresences[Code matière],J$5,tblPresences[Statut],"A"))</f>
        <v>0</v>
      </c>
      <c r="K112" s="30">
        <f>IF(OR($C112="",K$5=""),"",COUNTIFS(tblPresences[Étudiant],$C112,tblPresences[Code matière],K$5,tblPresences[Statut],"A"))</f>
        <v>0</v>
      </c>
      <c r="L112" s="30">
        <f>IF(OR($C112="",L$5=""),"",COUNTIFS(tblPresences[Étudiant],$C112,tblPresences[Code matière],L$5,tblPresences[Statut],"A"))</f>
        <v>0</v>
      </c>
      <c r="M112" s="30">
        <f>IF(OR($C112="",M$5=""),"",COUNTIFS(tblPresences[Étudiant],$C112,tblPresences[Code matière],M$5,tblPresences[Statut],"A"))</f>
        <v>0</v>
      </c>
      <c r="N112" s="30">
        <f>IF(OR($C112="",N$5=""),"",COUNTIFS(tblPresences[Étudiant],$C112,tblPresences[Code matière],N$5,tblPresences[Statut],"A"))</f>
        <v>0</v>
      </c>
      <c r="O112" s="30">
        <f>IF(OR($C112="",O$5=""),"",COUNTIFS(tblPresences[Étudiant],$C112,tblPresences[Code matière],O$5,tblPresences[Statut],"A"))</f>
        <v>0</v>
      </c>
      <c r="P112" s="30">
        <f>IF(OR($C112="",P$5=""),"",COUNTIFS(tblPresences[Étudiant],$C112,tblPresences[Code matière],P$5,tblPresences[Statut],"A"))</f>
        <v>0</v>
      </c>
      <c r="Q112" s="31">
        <f>IF(C112="","",SUM(E112:P112))</f>
        <v>0</v>
      </c>
      <c r="R112" s="30">
        <f>IF(C112="","",COUNTIFS(tblPresences[Étudiant],C112,tblPresences[Statut],"R"))</f>
        <v>0</v>
      </c>
      <c r="S112" s="124">
        <f>IF(C112="","",IFERROR((COUNTIFS(tblPresences[Étudiant],C112,tblPresences[Statut],"P")+COUNTIFS(tblPresences[Étudiant],C112,tblPresences[Statut],"R"))/COUNTIF(tblPresences[Étudiant],C112),""))</f>
        <v>0</v>
      </c>
      <c r="T112" s="30">
        <f>IF(C112="","",MAX(E112:P112))</f>
        <v>0</v>
      </c>
      <c r="U112" s="148">
        <f>IF(C112="","",IF(T112&gt;pSeuil,"⚠ ALERTE",""))</f>
        <v>0</v>
      </c>
    </row>
    <row r="113" spans="2:21">
      <c r="B113" s="145">
        <f>IF(C113="","",107)</f>
        <v>0</v>
      </c>
      <c r="C113" s="29">
        <f>IFERROR(INDEX(tblEtudiants[Nom et prénoms],107)&amp;"","")</f>
        <v>0</v>
      </c>
      <c r="D113" s="27">
        <f>IF(C113="","",INDEX(tblEtudiants[Groupe],107)&amp;"")</f>
        <v>0</v>
      </c>
      <c r="E113" s="27">
        <f>IF(OR($C113="",E$5=""),"",COUNTIFS(tblPresences[Étudiant],$C113,tblPresences[Code matière],E$5,tblPresences[Statut],"A"))</f>
        <v>0</v>
      </c>
      <c r="F113" s="27">
        <f>IF(OR($C113="",F$5=""),"",COUNTIFS(tblPresences[Étudiant],$C113,tblPresences[Code matière],F$5,tblPresences[Statut],"A"))</f>
        <v>0</v>
      </c>
      <c r="G113" s="27">
        <f>IF(OR($C113="",G$5=""),"",COUNTIFS(tblPresences[Étudiant],$C113,tblPresences[Code matière],G$5,tblPresences[Statut],"A"))</f>
        <v>0</v>
      </c>
      <c r="H113" s="27">
        <f>IF(OR($C113="",H$5=""),"",COUNTIFS(tblPresences[Étudiant],$C113,tblPresences[Code matière],H$5,tblPresences[Statut],"A"))</f>
        <v>0</v>
      </c>
      <c r="I113" s="27">
        <f>IF(OR($C113="",I$5=""),"",COUNTIFS(tblPresences[Étudiant],$C113,tblPresences[Code matière],I$5,tblPresences[Statut],"A"))</f>
        <v>0</v>
      </c>
      <c r="J113" s="27">
        <f>IF(OR($C113="",J$5=""),"",COUNTIFS(tblPresences[Étudiant],$C113,tblPresences[Code matière],J$5,tblPresences[Statut],"A"))</f>
        <v>0</v>
      </c>
      <c r="K113" s="27">
        <f>IF(OR($C113="",K$5=""),"",COUNTIFS(tblPresences[Étudiant],$C113,tblPresences[Code matière],K$5,tblPresences[Statut],"A"))</f>
        <v>0</v>
      </c>
      <c r="L113" s="27">
        <f>IF(OR($C113="",L$5=""),"",COUNTIFS(tblPresences[Étudiant],$C113,tblPresences[Code matière],L$5,tblPresences[Statut],"A"))</f>
        <v>0</v>
      </c>
      <c r="M113" s="27">
        <f>IF(OR($C113="",M$5=""),"",COUNTIFS(tblPresences[Étudiant],$C113,tblPresences[Code matière],M$5,tblPresences[Statut],"A"))</f>
        <v>0</v>
      </c>
      <c r="N113" s="27">
        <f>IF(OR($C113="",N$5=""),"",COUNTIFS(tblPresences[Étudiant],$C113,tblPresences[Code matière],N$5,tblPresences[Statut],"A"))</f>
        <v>0</v>
      </c>
      <c r="O113" s="27">
        <f>IF(OR($C113="",O$5=""),"",COUNTIFS(tblPresences[Étudiant],$C113,tblPresences[Code matière],O$5,tblPresences[Statut],"A"))</f>
        <v>0</v>
      </c>
      <c r="P113" s="27">
        <f>IF(OR($C113="",P$5=""),"",COUNTIFS(tblPresences[Étudiant],$C113,tblPresences[Code matière],P$5,tblPresences[Statut],"A"))</f>
        <v>0</v>
      </c>
      <c r="Q113" s="28">
        <f>IF(C113="","",SUM(E113:P113))</f>
        <v>0</v>
      </c>
      <c r="R113" s="27">
        <f>IF(C113="","",COUNTIFS(tblPresences[Étudiant],C113,tblPresences[Statut],"R"))</f>
        <v>0</v>
      </c>
      <c r="S113" s="123">
        <f>IF(C113="","",IFERROR((COUNTIFS(tblPresences[Étudiant],C113,tblPresences[Statut],"P")+COUNTIFS(tblPresences[Étudiant],C113,tblPresences[Statut],"R"))/COUNTIF(tblPresences[Étudiant],C113),""))</f>
        <v>0</v>
      </c>
      <c r="T113" s="27">
        <f>IF(C113="","",MAX(E113:P113))</f>
        <v>0</v>
      </c>
      <c r="U113" s="146">
        <f>IF(C113="","",IF(T113&gt;pSeuil,"⚠ ALERTE",""))</f>
        <v>0</v>
      </c>
    </row>
    <row r="114" spans="2:21">
      <c r="B114" s="147">
        <f>IF(C114="","",108)</f>
        <v>0</v>
      </c>
      <c r="C114" s="32">
        <f>IFERROR(INDEX(tblEtudiants[Nom et prénoms],108)&amp;"","")</f>
        <v>0</v>
      </c>
      <c r="D114" s="30">
        <f>IF(C114="","",INDEX(tblEtudiants[Groupe],108)&amp;"")</f>
        <v>0</v>
      </c>
      <c r="E114" s="30">
        <f>IF(OR($C114="",E$5=""),"",COUNTIFS(tblPresences[Étudiant],$C114,tblPresences[Code matière],E$5,tblPresences[Statut],"A"))</f>
        <v>0</v>
      </c>
      <c r="F114" s="30">
        <f>IF(OR($C114="",F$5=""),"",COUNTIFS(tblPresences[Étudiant],$C114,tblPresences[Code matière],F$5,tblPresences[Statut],"A"))</f>
        <v>0</v>
      </c>
      <c r="G114" s="30">
        <f>IF(OR($C114="",G$5=""),"",COUNTIFS(tblPresences[Étudiant],$C114,tblPresences[Code matière],G$5,tblPresences[Statut],"A"))</f>
        <v>0</v>
      </c>
      <c r="H114" s="30">
        <f>IF(OR($C114="",H$5=""),"",COUNTIFS(tblPresences[Étudiant],$C114,tblPresences[Code matière],H$5,tblPresences[Statut],"A"))</f>
        <v>0</v>
      </c>
      <c r="I114" s="30">
        <f>IF(OR($C114="",I$5=""),"",COUNTIFS(tblPresences[Étudiant],$C114,tblPresences[Code matière],I$5,tblPresences[Statut],"A"))</f>
        <v>0</v>
      </c>
      <c r="J114" s="30">
        <f>IF(OR($C114="",J$5=""),"",COUNTIFS(tblPresences[Étudiant],$C114,tblPresences[Code matière],J$5,tblPresences[Statut],"A"))</f>
        <v>0</v>
      </c>
      <c r="K114" s="30">
        <f>IF(OR($C114="",K$5=""),"",COUNTIFS(tblPresences[Étudiant],$C114,tblPresences[Code matière],K$5,tblPresences[Statut],"A"))</f>
        <v>0</v>
      </c>
      <c r="L114" s="30">
        <f>IF(OR($C114="",L$5=""),"",COUNTIFS(tblPresences[Étudiant],$C114,tblPresences[Code matière],L$5,tblPresences[Statut],"A"))</f>
        <v>0</v>
      </c>
      <c r="M114" s="30">
        <f>IF(OR($C114="",M$5=""),"",COUNTIFS(tblPresences[Étudiant],$C114,tblPresences[Code matière],M$5,tblPresences[Statut],"A"))</f>
        <v>0</v>
      </c>
      <c r="N114" s="30">
        <f>IF(OR($C114="",N$5=""),"",COUNTIFS(tblPresences[Étudiant],$C114,tblPresences[Code matière],N$5,tblPresences[Statut],"A"))</f>
        <v>0</v>
      </c>
      <c r="O114" s="30">
        <f>IF(OR($C114="",O$5=""),"",COUNTIFS(tblPresences[Étudiant],$C114,tblPresences[Code matière],O$5,tblPresences[Statut],"A"))</f>
        <v>0</v>
      </c>
      <c r="P114" s="30">
        <f>IF(OR($C114="",P$5=""),"",COUNTIFS(tblPresences[Étudiant],$C114,tblPresences[Code matière],P$5,tblPresences[Statut],"A"))</f>
        <v>0</v>
      </c>
      <c r="Q114" s="31">
        <f>IF(C114="","",SUM(E114:P114))</f>
        <v>0</v>
      </c>
      <c r="R114" s="30">
        <f>IF(C114="","",COUNTIFS(tblPresences[Étudiant],C114,tblPresences[Statut],"R"))</f>
        <v>0</v>
      </c>
      <c r="S114" s="124">
        <f>IF(C114="","",IFERROR((COUNTIFS(tblPresences[Étudiant],C114,tblPresences[Statut],"P")+COUNTIFS(tblPresences[Étudiant],C114,tblPresences[Statut],"R"))/COUNTIF(tblPresences[Étudiant],C114),""))</f>
        <v>0</v>
      </c>
      <c r="T114" s="30">
        <f>IF(C114="","",MAX(E114:P114))</f>
        <v>0</v>
      </c>
      <c r="U114" s="148">
        <f>IF(C114="","",IF(T114&gt;pSeuil,"⚠ ALERTE",""))</f>
        <v>0</v>
      </c>
    </row>
    <row r="115" spans="2:21">
      <c r="B115" s="145">
        <f>IF(C115="","",109)</f>
        <v>0</v>
      </c>
      <c r="C115" s="29">
        <f>IFERROR(INDEX(tblEtudiants[Nom et prénoms],109)&amp;"","")</f>
        <v>0</v>
      </c>
      <c r="D115" s="27">
        <f>IF(C115="","",INDEX(tblEtudiants[Groupe],109)&amp;"")</f>
        <v>0</v>
      </c>
      <c r="E115" s="27">
        <f>IF(OR($C115="",E$5=""),"",COUNTIFS(tblPresences[Étudiant],$C115,tblPresences[Code matière],E$5,tblPresences[Statut],"A"))</f>
        <v>0</v>
      </c>
      <c r="F115" s="27">
        <f>IF(OR($C115="",F$5=""),"",COUNTIFS(tblPresences[Étudiant],$C115,tblPresences[Code matière],F$5,tblPresences[Statut],"A"))</f>
        <v>0</v>
      </c>
      <c r="G115" s="27">
        <f>IF(OR($C115="",G$5=""),"",COUNTIFS(tblPresences[Étudiant],$C115,tblPresences[Code matière],G$5,tblPresences[Statut],"A"))</f>
        <v>0</v>
      </c>
      <c r="H115" s="27">
        <f>IF(OR($C115="",H$5=""),"",COUNTIFS(tblPresences[Étudiant],$C115,tblPresences[Code matière],H$5,tblPresences[Statut],"A"))</f>
        <v>0</v>
      </c>
      <c r="I115" s="27">
        <f>IF(OR($C115="",I$5=""),"",COUNTIFS(tblPresences[Étudiant],$C115,tblPresences[Code matière],I$5,tblPresences[Statut],"A"))</f>
        <v>0</v>
      </c>
      <c r="J115" s="27">
        <f>IF(OR($C115="",J$5=""),"",COUNTIFS(tblPresences[Étudiant],$C115,tblPresences[Code matière],J$5,tblPresences[Statut],"A"))</f>
        <v>0</v>
      </c>
      <c r="K115" s="27">
        <f>IF(OR($C115="",K$5=""),"",COUNTIFS(tblPresences[Étudiant],$C115,tblPresences[Code matière],K$5,tblPresences[Statut],"A"))</f>
        <v>0</v>
      </c>
      <c r="L115" s="27">
        <f>IF(OR($C115="",L$5=""),"",COUNTIFS(tblPresences[Étudiant],$C115,tblPresences[Code matière],L$5,tblPresences[Statut],"A"))</f>
        <v>0</v>
      </c>
      <c r="M115" s="27">
        <f>IF(OR($C115="",M$5=""),"",COUNTIFS(tblPresences[Étudiant],$C115,tblPresences[Code matière],M$5,tblPresences[Statut],"A"))</f>
        <v>0</v>
      </c>
      <c r="N115" s="27">
        <f>IF(OR($C115="",N$5=""),"",COUNTIFS(tblPresences[Étudiant],$C115,tblPresences[Code matière],N$5,tblPresences[Statut],"A"))</f>
        <v>0</v>
      </c>
      <c r="O115" s="27">
        <f>IF(OR($C115="",O$5=""),"",COUNTIFS(tblPresences[Étudiant],$C115,tblPresences[Code matière],O$5,tblPresences[Statut],"A"))</f>
        <v>0</v>
      </c>
      <c r="P115" s="27">
        <f>IF(OR($C115="",P$5=""),"",COUNTIFS(tblPresences[Étudiant],$C115,tblPresences[Code matière],P$5,tblPresences[Statut],"A"))</f>
        <v>0</v>
      </c>
      <c r="Q115" s="28">
        <f>IF(C115="","",SUM(E115:P115))</f>
        <v>0</v>
      </c>
      <c r="R115" s="27">
        <f>IF(C115="","",COUNTIFS(tblPresences[Étudiant],C115,tblPresences[Statut],"R"))</f>
        <v>0</v>
      </c>
      <c r="S115" s="123">
        <f>IF(C115="","",IFERROR((COUNTIFS(tblPresences[Étudiant],C115,tblPresences[Statut],"P")+COUNTIFS(tblPresences[Étudiant],C115,tblPresences[Statut],"R"))/COUNTIF(tblPresences[Étudiant],C115),""))</f>
        <v>0</v>
      </c>
      <c r="T115" s="27">
        <f>IF(C115="","",MAX(E115:P115))</f>
        <v>0</v>
      </c>
      <c r="U115" s="146">
        <f>IF(C115="","",IF(T115&gt;pSeuil,"⚠ ALERTE",""))</f>
        <v>0</v>
      </c>
    </row>
    <row r="116" spans="2:21">
      <c r="B116" s="147">
        <f>IF(C116="","",110)</f>
        <v>0</v>
      </c>
      <c r="C116" s="32">
        <f>IFERROR(INDEX(tblEtudiants[Nom et prénoms],110)&amp;"","")</f>
        <v>0</v>
      </c>
      <c r="D116" s="30">
        <f>IF(C116="","",INDEX(tblEtudiants[Groupe],110)&amp;"")</f>
        <v>0</v>
      </c>
      <c r="E116" s="30">
        <f>IF(OR($C116="",E$5=""),"",COUNTIFS(tblPresences[Étudiant],$C116,tblPresences[Code matière],E$5,tblPresences[Statut],"A"))</f>
        <v>0</v>
      </c>
      <c r="F116" s="30">
        <f>IF(OR($C116="",F$5=""),"",COUNTIFS(tblPresences[Étudiant],$C116,tblPresences[Code matière],F$5,tblPresences[Statut],"A"))</f>
        <v>0</v>
      </c>
      <c r="G116" s="30">
        <f>IF(OR($C116="",G$5=""),"",COUNTIFS(tblPresences[Étudiant],$C116,tblPresences[Code matière],G$5,tblPresences[Statut],"A"))</f>
        <v>0</v>
      </c>
      <c r="H116" s="30">
        <f>IF(OR($C116="",H$5=""),"",COUNTIFS(tblPresences[Étudiant],$C116,tblPresences[Code matière],H$5,tblPresences[Statut],"A"))</f>
        <v>0</v>
      </c>
      <c r="I116" s="30">
        <f>IF(OR($C116="",I$5=""),"",COUNTIFS(tblPresences[Étudiant],$C116,tblPresences[Code matière],I$5,tblPresences[Statut],"A"))</f>
        <v>0</v>
      </c>
      <c r="J116" s="30">
        <f>IF(OR($C116="",J$5=""),"",COUNTIFS(tblPresences[Étudiant],$C116,tblPresences[Code matière],J$5,tblPresences[Statut],"A"))</f>
        <v>0</v>
      </c>
      <c r="K116" s="30">
        <f>IF(OR($C116="",K$5=""),"",COUNTIFS(tblPresences[Étudiant],$C116,tblPresences[Code matière],K$5,tblPresences[Statut],"A"))</f>
        <v>0</v>
      </c>
      <c r="L116" s="30">
        <f>IF(OR($C116="",L$5=""),"",COUNTIFS(tblPresences[Étudiant],$C116,tblPresences[Code matière],L$5,tblPresences[Statut],"A"))</f>
        <v>0</v>
      </c>
      <c r="M116" s="30">
        <f>IF(OR($C116="",M$5=""),"",COUNTIFS(tblPresences[Étudiant],$C116,tblPresences[Code matière],M$5,tblPresences[Statut],"A"))</f>
        <v>0</v>
      </c>
      <c r="N116" s="30">
        <f>IF(OR($C116="",N$5=""),"",COUNTIFS(tblPresences[Étudiant],$C116,tblPresences[Code matière],N$5,tblPresences[Statut],"A"))</f>
        <v>0</v>
      </c>
      <c r="O116" s="30">
        <f>IF(OR($C116="",O$5=""),"",COUNTIFS(tblPresences[Étudiant],$C116,tblPresences[Code matière],O$5,tblPresences[Statut],"A"))</f>
        <v>0</v>
      </c>
      <c r="P116" s="30">
        <f>IF(OR($C116="",P$5=""),"",COUNTIFS(tblPresences[Étudiant],$C116,tblPresences[Code matière],P$5,tblPresences[Statut],"A"))</f>
        <v>0</v>
      </c>
      <c r="Q116" s="31">
        <f>IF(C116="","",SUM(E116:P116))</f>
        <v>0</v>
      </c>
      <c r="R116" s="30">
        <f>IF(C116="","",COUNTIFS(tblPresences[Étudiant],C116,tblPresences[Statut],"R"))</f>
        <v>0</v>
      </c>
      <c r="S116" s="124">
        <f>IF(C116="","",IFERROR((COUNTIFS(tblPresences[Étudiant],C116,tblPresences[Statut],"P")+COUNTIFS(tblPresences[Étudiant],C116,tblPresences[Statut],"R"))/COUNTIF(tblPresences[Étudiant],C116),""))</f>
        <v>0</v>
      </c>
      <c r="T116" s="30">
        <f>IF(C116="","",MAX(E116:P116))</f>
        <v>0</v>
      </c>
      <c r="U116" s="148">
        <f>IF(C116="","",IF(T116&gt;pSeuil,"⚠ ALERTE",""))</f>
        <v>0</v>
      </c>
    </row>
    <row r="117" spans="2:21">
      <c r="B117" s="145">
        <f>IF(C117="","",111)</f>
        <v>0</v>
      </c>
      <c r="C117" s="29">
        <f>IFERROR(INDEX(tblEtudiants[Nom et prénoms],111)&amp;"","")</f>
        <v>0</v>
      </c>
      <c r="D117" s="27">
        <f>IF(C117="","",INDEX(tblEtudiants[Groupe],111)&amp;"")</f>
        <v>0</v>
      </c>
      <c r="E117" s="27">
        <f>IF(OR($C117="",E$5=""),"",COUNTIFS(tblPresences[Étudiant],$C117,tblPresences[Code matière],E$5,tblPresences[Statut],"A"))</f>
        <v>0</v>
      </c>
      <c r="F117" s="27">
        <f>IF(OR($C117="",F$5=""),"",COUNTIFS(tblPresences[Étudiant],$C117,tblPresences[Code matière],F$5,tblPresences[Statut],"A"))</f>
        <v>0</v>
      </c>
      <c r="G117" s="27">
        <f>IF(OR($C117="",G$5=""),"",COUNTIFS(tblPresences[Étudiant],$C117,tblPresences[Code matière],G$5,tblPresences[Statut],"A"))</f>
        <v>0</v>
      </c>
      <c r="H117" s="27">
        <f>IF(OR($C117="",H$5=""),"",COUNTIFS(tblPresences[Étudiant],$C117,tblPresences[Code matière],H$5,tblPresences[Statut],"A"))</f>
        <v>0</v>
      </c>
      <c r="I117" s="27">
        <f>IF(OR($C117="",I$5=""),"",COUNTIFS(tblPresences[Étudiant],$C117,tblPresences[Code matière],I$5,tblPresences[Statut],"A"))</f>
        <v>0</v>
      </c>
      <c r="J117" s="27">
        <f>IF(OR($C117="",J$5=""),"",COUNTIFS(tblPresences[Étudiant],$C117,tblPresences[Code matière],J$5,tblPresences[Statut],"A"))</f>
        <v>0</v>
      </c>
      <c r="K117" s="27">
        <f>IF(OR($C117="",K$5=""),"",COUNTIFS(tblPresences[Étudiant],$C117,tblPresences[Code matière],K$5,tblPresences[Statut],"A"))</f>
        <v>0</v>
      </c>
      <c r="L117" s="27">
        <f>IF(OR($C117="",L$5=""),"",COUNTIFS(tblPresences[Étudiant],$C117,tblPresences[Code matière],L$5,tblPresences[Statut],"A"))</f>
        <v>0</v>
      </c>
      <c r="M117" s="27">
        <f>IF(OR($C117="",M$5=""),"",COUNTIFS(tblPresences[Étudiant],$C117,tblPresences[Code matière],M$5,tblPresences[Statut],"A"))</f>
        <v>0</v>
      </c>
      <c r="N117" s="27">
        <f>IF(OR($C117="",N$5=""),"",COUNTIFS(tblPresences[Étudiant],$C117,tblPresences[Code matière],N$5,tblPresences[Statut],"A"))</f>
        <v>0</v>
      </c>
      <c r="O117" s="27">
        <f>IF(OR($C117="",O$5=""),"",COUNTIFS(tblPresences[Étudiant],$C117,tblPresences[Code matière],O$5,tblPresences[Statut],"A"))</f>
        <v>0</v>
      </c>
      <c r="P117" s="27">
        <f>IF(OR($C117="",P$5=""),"",COUNTIFS(tblPresences[Étudiant],$C117,tblPresences[Code matière],P$5,tblPresences[Statut],"A"))</f>
        <v>0</v>
      </c>
      <c r="Q117" s="28">
        <f>IF(C117="","",SUM(E117:P117))</f>
        <v>0</v>
      </c>
      <c r="R117" s="27">
        <f>IF(C117="","",COUNTIFS(tblPresences[Étudiant],C117,tblPresences[Statut],"R"))</f>
        <v>0</v>
      </c>
      <c r="S117" s="123">
        <f>IF(C117="","",IFERROR((COUNTIFS(tblPresences[Étudiant],C117,tblPresences[Statut],"P")+COUNTIFS(tblPresences[Étudiant],C117,tblPresences[Statut],"R"))/COUNTIF(tblPresences[Étudiant],C117),""))</f>
        <v>0</v>
      </c>
      <c r="T117" s="27">
        <f>IF(C117="","",MAX(E117:P117))</f>
        <v>0</v>
      </c>
      <c r="U117" s="146">
        <f>IF(C117="","",IF(T117&gt;pSeuil,"⚠ ALERTE",""))</f>
        <v>0</v>
      </c>
    </row>
    <row r="118" spans="2:21">
      <c r="B118" s="147">
        <f>IF(C118="","",112)</f>
        <v>0</v>
      </c>
      <c r="C118" s="32">
        <f>IFERROR(INDEX(tblEtudiants[Nom et prénoms],112)&amp;"","")</f>
        <v>0</v>
      </c>
      <c r="D118" s="30">
        <f>IF(C118="","",INDEX(tblEtudiants[Groupe],112)&amp;"")</f>
        <v>0</v>
      </c>
      <c r="E118" s="30">
        <f>IF(OR($C118="",E$5=""),"",COUNTIFS(tblPresences[Étudiant],$C118,tblPresences[Code matière],E$5,tblPresences[Statut],"A"))</f>
        <v>0</v>
      </c>
      <c r="F118" s="30">
        <f>IF(OR($C118="",F$5=""),"",COUNTIFS(tblPresences[Étudiant],$C118,tblPresences[Code matière],F$5,tblPresences[Statut],"A"))</f>
        <v>0</v>
      </c>
      <c r="G118" s="30">
        <f>IF(OR($C118="",G$5=""),"",COUNTIFS(tblPresences[Étudiant],$C118,tblPresences[Code matière],G$5,tblPresences[Statut],"A"))</f>
        <v>0</v>
      </c>
      <c r="H118" s="30">
        <f>IF(OR($C118="",H$5=""),"",COUNTIFS(tblPresences[Étudiant],$C118,tblPresences[Code matière],H$5,tblPresences[Statut],"A"))</f>
        <v>0</v>
      </c>
      <c r="I118" s="30">
        <f>IF(OR($C118="",I$5=""),"",COUNTIFS(tblPresences[Étudiant],$C118,tblPresences[Code matière],I$5,tblPresences[Statut],"A"))</f>
        <v>0</v>
      </c>
      <c r="J118" s="30">
        <f>IF(OR($C118="",J$5=""),"",COUNTIFS(tblPresences[Étudiant],$C118,tblPresences[Code matière],J$5,tblPresences[Statut],"A"))</f>
        <v>0</v>
      </c>
      <c r="K118" s="30">
        <f>IF(OR($C118="",K$5=""),"",COUNTIFS(tblPresences[Étudiant],$C118,tblPresences[Code matière],K$5,tblPresences[Statut],"A"))</f>
        <v>0</v>
      </c>
      <c r="L118" s="30">
        <f>IF(OR($C118="",L$5=""),"",COUNTIFS(tblPresences[Étudiant],$C118,tblPresences[Code matière],L$5,tblPresences[Statut],"A"))</f>
        <v>0</v>
      </c>
      <c r="M118" s="30">
        <f>IF(OR($C118="",M$5=""),"",COUNTIFS(tblPresences[Étudiant],$C118,tblPresences[Code matière],M$5,tblPresences[Statut],"A"))</f>
        <v>0</v>
      </c>
      <c r="N118" s="30">
        <f>IF(OR($C118="",N$5=""),"",COUNTIFS(tblPresences[Étudiant],$C118,tblPresences[Code matière],N$5,tblPresences[Statut],"A"))</f>
        <v>0</v>
      </c>
      <c r="O118" s="30">
        <f>IF(OR($C118="",O$5=""),"",COUNTIFS(tblPresences[Étudiant],$C118,tblPresences[Code matière],O$5,tblPresences[Statut],"A"))</f>
        <v>0</v>
      </c>
      <c r="P118" s="30">
        <f>IF(OR($C118="",P$5=""),"",COUNTIFS(tblPresences[Étudiant],$C118,tblPresences[Code matière],P$5,tblPresences[Statut],"A"))</f>
        <v>0</v>
      </c>
      <c r="Q118" s="31">
        <f>IF(C118="","",SUM(E118:P118))</f>
        <v>0</v>
      </c>
      <c r="R118" s="30">
        <f>IF(C118="","",COUNTIFS(tblPresences[Étudiant],C118,tblPresences[Statut],"R"))</f>
        <v>0</v>
      </c>
      <c r="S118" s="124">
        <f>IF(C118="","",IFERROR((COUNTIFS(tblPresences[Étudiant],C118,tblPresences[Statut],"P")+COUNTIFS(tblPresences[Étudiant],C118,tblPresences[Statut],"R"))/COUNTIF(tblPresences[Étudiant],C118),""))</f>
        <v>0</v>
      </c>
      <c r="T118" s="30">
        <f>IF(C118="","",MAX(E118:P118))</f>
        <v>0</v>
      </c>
      <c r="U118" s="148">
        <f>IF(C118="","",IF(T118&gt;pSeuil,"⚠ ALERTE",""))</f>
        <v>0</v>
      </c>
    </row>
    <row r="119" spans="2:21">
      <c r="B119" s="145">
        <f>IF(C119="","",113)</f>
        <v>0</v>
      </c>
      <c r="C119" s="29">
        <f>IFERROR(INDEX(tblEtudiants[Nom et prénoms],113)&amp;"","")</f>
        <v>0</v>
      </c>
      <c r="D119" s="27">
        <f>IF(C119="","",INDEX(tblEtudiants[Groupe],113)&amp;"")</f>
        <v>0</v>
      </c>
      <c r="E119" s="27">
        <f>IF(OR($C119="",E$5=""),"",COUNTIFS(tblPresences[Étudiant],$C119,tblPresences[Code matière],E$5,tblPresences[Statut],"A"))</f>
        <v>0</v>
      </c>
      <c r="F119" s="27">
        <f>IF(OR($C119="",F$5=""),"",COUNTIFS(tblPresences[Étudiant],$C119,tblPresences[Code matière],F$5,tblPresences[Statut],"A"))</f>
        <v>0</v>
      </c>
      <c r="G119" s="27">
        <f>IF(OR($C119="",G$5=""),"",COUNTIFS(tblPresences[Étudiant],$C119,tblPresences[Code matière],G$5,tblPresences[Statut],"A"))</f>
        <v>0</v>
      </c>
      <c r="H119" s="27">
        <f>IF(OR($C119="",H$5=""),"",COUNTIFS(tblPresences[Étudiant],$C119,tblPresences[Code matière],H$5,tblPresences[Statut],"A"))</f>
        <v>0</v>
      </c>
      <c r="I119" s="27">
        <f>IF(OR($C119="",I$5=""),"",COUNTIFS(tblPresences[Étudiant],$C119,tblPresences[Code matière],I$5,tblPresences[Statut],"A"))</f>
        <v>0</v>
      </c>
      <c r="J119" s="27">
        <f>IF(OR($C119="",J$5=""),"",COUNTIFS(tblPresences[Étudiant],$C119,tblPresences[Code matière],J$5,tblPresences[Statut],"A"))</f>
        <v>0</v>
      </c>
      <c r="K119" s="27">
        <f>IF(OR($C119="",K$5=""),"",COUNTIFS(tblPresences[Étudiant],$C119,tblPresences[Code matière],K$5,tblPresences[Statut],"A"))</f>
        <v>0</v>
      </c>
      <c r="L119" s="27">
        <f>IF(OR($C119="",L$5=""),"",COUNTIFS(tblPresences[Étudiant],$C119,tblPresences[Code matière],L$5,tblPresences[Statut],"A"))</f>
        <v>0</v>
      </c>
      <c r="M119" s="27">
        <f>IF(OR($C119="",M$5=""),"",COUNTIFS(tblPresences[Étudiant],$C119,tblPresences[Code matière],M$5,tblPresences[Statut],"A"))</f>
        <v>0</v>
      </c>
      <c r="N119" s="27">
        <f>IF(OR($C119="",N$5=""),"",COUNTIFS(tblPresences[Étudiant],$C119,tblPresences[Code matière],N$5,tblPresences[Statut],"A"))</f>
        <v>0</v>
      </c>
      <c r="O119" s="27">
        <f>IF(OR($C119="",O$5=""),"",COUNTIFS(tblPresences[Étudiant],$C119,tblPresences[Code matière],O$5,tblPresences[Statut],"A"))</f>
        <v>0</v>
      </c>
      <c r="P119" s="27">
        <f>IF(OR($C119="",P$5=""),"",COUNTIFS(tblPresences[Étudiant],$C119,tblPresences[Code matière],P$5,tblPresences[Statut],"A"))</f>
        <v>0</v>
      </c>
      <c r="Q119" s="28">
        <f>IF(C119="","",SUM(E119:P119))</f>
        <v>0</v>
      </c>
      <c r="R119" s="27">
        <f>IF(C119="","",COUNTIFS(tblPresences[Étudiant],C119,tblPresences[Statut],"R"))</f>
        <v>0</v>
      </c>
      <c r="S119" s="123">
        <f>IF(C119="","",IFERROR((COUNTIFS(tblPresences[Étudiant],C119,tblPresences[Statut],"P")+COUNTIFS(tblPresences[Étudiant],C119,tblPresences[Statut],"R"))/COUNTIF(tblPresences[Étudiant],C119),""))</f>
        <v>0</v>
      </c>
      <c r="T119" s="27">
        <f>IF(C119="","",MAX(E119:P119))</f>
        <v>0</v>
      </c>
      <c r="U119" s="146">
        <f>IF(C119="","",IF(T119&gt;pSeuil,"⚠ ALERTE",""))</f>
        <v>0</v>
      </c>
    </row>
    <row r="120" spans="2:21">
      <c r="B120" s="147">
        <f>IF(C120="","",114)</f>
        <v>0</v>
      </c>
      <c r="C120" s="32">
        <f>IFERROR(INDEX(tblEtudiants[Nom et prénoms],114)&amp;"","")</f>
        <v>0</v>
      </c>
      <c r="D120" s="30">
        <f>IF(C120="","",INDEX(tblEtudiants[Groupe],114)&amp;"")</f>
        <v>0</v>
      </c>
      <c r="E120" s="30">
        <f>IF(OR($C120="",E$5=""),"",COUNTIFS(tblPresences[Étudiant],$C120,tblPresences[Code matière],E$5,tblPresences[Statut],"A"))</f>
        <v>0</v>
      </c>
      <c r="F120" s="30">
        <f>IF(OR($C120="",F$5=""),"",COUNTIFS(tblPresences[Étudiant],$C120,tblPresences[Code matière],F$5,tblPresences[Statut],"A"))</f>
        <v>0</v>
      </c>
      <c r="G120" s="30">
        <f>IF(OR($C120="",G$5=""),"",COUNTIFS(tblPresences[Étudiant],$C120,tblPresences[Code matière],G$5,tblPresences[Statut],"A"))</f>
        <v>0</v>
      </c>
      <c r="H120" s="30">
        <f>IF(OR($C120="",H$5=""),"",COUNTIFS(tblPresences[Étudiant],$C120,tblPresences[Code matière],H$5,tblPresences[Statut],"A"))</f>
        <v>0</v>
      </c>
      <c r="I120" s="30">
        <f>IF(OR($C120="",I$5=""),"",COUNTIFS(tblPresences[Étudiant],$C120,tblPresences[Code matière],I$5,tblPresences[Statut],"A"))</f>
        <v>0</v>
      </c>
      <c r="J120" s="30">
        <f>IF(OR($C120="",J$5=""),"",COUNTIFS(tblPresences[Étudiant],$C120,tblPresences[Code matière],J$5,tblPresences[Statut],"A"))</f>
        <v>0</v>
      </c>
      <c r="K120" s="30">
        <f>IF(OR($C120="",K$5=""),"",COUNTIFS(tblPresences[Étudiant],$C120,tblPresences[Code matière],K$5,tblPresences[Statut],"A"))</f>
        <v>0</v>
      </c>
      <c r="L120" s="30">
        <f>IF(OR($C120="",L$5=""),"",COUNTIFS(tblPresences[Étudiant],$C120,tblPresences[Code matière],L$5,tblPresences[Statut],"A"))</f>
        <v>0</v>
      </c>
      <c r="M120" s="30">
        <f>IF(OR($C120="",M$5=""),"",COUNTIFS(tblPresences[Étudiant],$C120,tblPresences[Code matière],M$5,tblPresences[Statut],"A"))</f>
        <v>0</v>
      </c>
      <c r="N120" s="30">
        <f>IF(OR($C120="",N$5=""),"",COUNTIFS(tblPresences[Étudiant],$C120,tblPresences[Code matière],N$5,tblPresences[Statut],"A"))</f>
        <v>0</v>
      </c>
      <c r="O120" s="30">
        <f>IF(OR($C120="",O$5=""),"",COUNTIFS(tblPresences[Étudiant],$C120,tblPresences[Code matière],O$5,tblPresences[Statut],"A"))</f>
        <v>0</v>
      </c>
      <c r="P120" s="30">
        <f>IF(OR($C120="",P$5=""),"",COUNTIFS(tblPresences[Étudiant],$C120,tblPresences[Code matière],P$5,tblPresences[Statut],"A"))</f>
        <v>0</v>
      </c>
      <c r="Q120" s="31">
        <f>IF(C120="","",SUM(E120:P120))</f>
        <v>0</v>
      </c>
      <c r="R120" s="30">
        <f>IF(C120="","",COUNTIFS(tblPresences[Étudiant],C120,tblPresences[Statut],"R"))</f>
        <v>0</v>
      </c>
      <c r="S120" s="124">
        <f>IF(C120="","",IFERROR((COUNTIFS(tblPresences[Étudiant],C120,tblPresences[Statut],"P")+COUNTIFS(tblPresences[Étudiant],C120,tblPresences[Statut],"R"))/COUNTIF(tblPresences[Étudiant],C120),""))</f>
        <v>0</v>
      </c>
      <c r="T120" s="30">
        <f>IF(C120="","",MAX(E120:P120))</f>
        <v>0</v>
      </c>
      <c r="U120" s="148">
        <f>IF(C120="","",IF(T120&gt;pSeuil,"⚠ ALERTE",""))</f>
        <v>0</v>
      </c>
    </row>
    <row r="121" spans="2:21">
      <c r="B121" s="145">
        <f>IF(C121="","",115)</f>
        <v>0</v>
      </c>
      <c r="C121" s="29">
        <f>IFERROR(INDEX(tblEtudiants[Nom et prénoms],115)&amp;"","")</f>
        <v>0</v>
      </c>
      <c r="D121" s="27">
        <f>IF(C121="","",INDEX(tblEtudiants[Groupe],115)&amp;"")</f>
        <v>0</v>
      </c>
      <c r="E121" s="27">
        <f>IF(OR($C121="",E$5=""),"",COUNTIFS(tblPresences[Étudiant],$C121,tblPresences[Code matière],E$5,tblPresences[Statut],"A"))</f>
        <v>0</v>
      </c>
      <c r="F121" s="27">
        <f>IF(OR($C121="",F$5=""),"",COUNTIFS(tblPresences[Étudiant],$C121,tblPresences[Code matière],F$5,tblPresences[Statut],"A"))</f>
        <v>0</v>
      </c>
      <c r="G121" s="27">
        <f>IF(OR($C121="",G$5=""),"",COUNTIFS(tblPresences[Étudiant],$C121,tblPresences[Code matière],G$5,tblPresences[Statut],"A"))</f>
        <v>0</v>
      </c>
      <c r="H121" s="27">
        <f>IF(OR($C121="",H$5=""),"",COUNTIFS(tblPresences[Étudiant],$C121,tblPresences[Code matière],H$5,tblPresences[Statut],"A"))</f>
        <v>0</v>
      </c>
      <c r="I121" s="27">
        <f>IF(OR($C121="",I$5=""),"",COUNTIFS(tblPresences[Étudiant],$C121,tblPresences[Code matière],I$5,tblPresences[Statut],"A"))</f>
        <v>0</v>
      </c>
      <c r="J121" s="27">
        <f>IF(OR($C121="",J$5=""),"",COUNTIFS(tblPresences[Étudiant],$C121,tblPresences[Code matière],J$5,tblPresences[Statut],"A"))</f>
        <v>0</v>
      </c>
      <c r="K121" s="27">
        <f>IF(OR($C121="",K$5=""),"",COUNTIFS(tblPresences[Étudiant],$C121,tblPresences[Code matière],K$5,tblPresences[Statut],"A"))</f>
        <v>0</v>
      </c>
      <c r="L121" s="27">
        <f>IF(OR($C121="",L$5=""),"",COUNTIFS(tblPresences[Étudiant],$C121,tblPresences[Code matière],L$5,tblPresences[Statut],"A"))</f>
        <v>0</v>
      </c>
      <c r="M121" s="27">
        <f>IF(OR($C121="",M$5=""),"",COUNTIFS(tblPresences[Étudiant],$C121,tblPresences[Code matière],M$5,tblPresences[Statut],"A"))</f>
        <v>0</v>
      </c>
      <c r="N121" s="27">
        <f>IF(OR($C121="",N$5=""),"",COUNTIFS(tblPresences[Étudiant],$C121,tblPresences[Code matière],N$5,tblPresences[Statut],"A"))</f>
        <v>0</v>
      </c>
      <c r="O121" s="27">
        <f>IF(OR($C121="",O$5=""),"",COUNTIFS(tblPresences[Étudiant],$C121,tblPresences[Code matière],O$5,tblPresences[Statut],"A"))</f>
        <v>0</v>
      </c>
      <c r="P121" s="27">
        <f>IF(OR($C121="",P$5=""),"",COUNTIFS(tblPresences[Étudiant],$C121,tblPresences[Code matière],P$5,tblPresences[Statut],"A"))</f>
        <v>0</v>
      </c>
      <c r="Q121" s="28">
        <f>IF(C121="","",SUM(E121:P121))</f>
        <v>0</v>
      </c>
      <c r="R121" s="27">
        <f>IF(C121="","",COUNTIFS(tblPresences[Étudiant],C121,tblPresences[Statut],"R"))</f>
        <v>0</v>
      </c>
      <c r="S121" s="123">
        <f>IF(C121="","",IFERROR((COUNTIFS(tblPresences[Étudiant],C121,tblPresences[Statut],"P")+COUNTIFS(tblPresences[Étudiant],C121,tblPresences[Statut],"R"))/COUNTIF(tblPresences[Étudiant],C121),""))</f>
        <v>0</v>
      </c>
      <c r="T121" s="27">
        <f>IF(C121="","",MAX(E121:P121))</f>
        <v>0</v>
      </c>
      <c r="U121" s="146">
        <f>IF(C121="","",IF(T121&gt;pSeuil,"⚠ ALERTE",""))</f>
        <v>0</v>
      </c>
    </row>
    <row r="122" spans="2:21">
      <c r="B122" s="147">
        <f>IF(C122="","",116)</f>
        <v>0</v>
      </c>
      <c r="C122" s="32">
        <f>IFERROR(INDEX(tblEtudiants[Nom et prénoms],116)&amp;"","")</f>
        <v>0</v>
      </c>
      <c r="D122" s="30">
        <f>IF(C122="","",INDEX(tblEtudiants[Groupe],116)&amp;"")</f>
        <v>0</v>
      </c>
      <c r="E122" s="30">
        <f>IF(OR($C122="",E$5=""),"",COUNTIFS(tblPresences[Étudiant],$C122,tblPresences[Code matière],E$5,tblPresences[Statut],"A"))</f>
        <v>0</v>
      </c>
      <c r="F122" s="30">
        <f>IF(OR($C122="",F$5=""),"",COUNTIFS(tblPresences[Étudiant],$C122,tblPresences[Code matière],F$5,tblPresences[Statut],"A"))</f>
        <v>0</v>
      </c>
      <c r="G122" s="30">
        <f>IF(OR($C122="",G$5=""),"",COUNTIFS(tblPresences[Étudiant],$C122,tblPresences[Code matière],G$5,tblPresences[Statut],"A"))</f>
        <v>0</v>
      </c>
      <c r="H122" s="30">
        <f>IF(OR($C122="",H$5=""),"",COUNTIFS(tblPresences[Étudiant],$C122,tblPresences[Code matière],H$5,tblPresences[Statut],"A"))</f>
        <v>0</v>
      </c>
      <c r="I122" s="30">
        <f>IF(OR($C122="",I$5=""),"",COUNTIFS(tblPresences[Étudiant],$C122,tblPresences[Code matière],I$5,tblPresences[Statut],"A"))</f>
        <v>0</v>
      </c>
      <c r="J122" s="30">
        <f>IF(OR($C122="",J$5=""),"",COUNTIFS(tblPresences[Étudiant],$C122,tblPresences[Code matière],J$5,tblPresences[Statut],"A"))</f>
        <v>0</v>
      </c>
      <c r="K122" s="30">
        <f>IF(OR($C122="",K$5=""),"",COUNTIFS(tblPresences[Étudiant],$C122,tblPresences[Code matière],K$5,tblPresences[Statut],"A"))</f>
        <v>0</v>
      </c>
      <c r="L122" s="30">
        <f>IF(OR($C122="",L$5=""),"",COUNTIFS(tblPresences[Étudiant],$C122,tblPresences[Code matière],L$5,tblPresences[Statut],"A"))</f>
        <v>0</v>
      </c>
      <c r="M122" s="30">
        <f>IF(OR($C122="",M$5=""),"",COUNTIFS(tblPresences[Étudiant],$C122,tblPresences[Code matière],M$5,tblPresences[Statut],"A"))</f>
        <v>0</v>
      </c>
      <c r="N122" s="30">
        <f>IF(OR($C122="",N$5=""),"",COUNTIFS(tblPresences[Étudiant],$C122,tblPresences[Code matière],N$5,tblPresences[Statut],"A"))</f>
        <v>0</v>
      </c>
      <c r="O122" s="30">
        <f>IF(OR($C122="",O$5=""),"",COUNTIFS(tblPresences[Étudiant],$C122,tblPresences[Code matière],O$5,tblPresences[Statut],"A"))</f>
        <v>0</v>
      </c>
      <c r="P122" s="30">
        <f>IF(OR($C122="",P$5=""),"",COUNTIFS(tblPresences[Étudiant],$C122,tblPresences[Code matière],P$5,tblPresences[Statut],"A"))</f>
        <v>0</v>
      </c>
      <c r="Q122" s="31">
        <f>IF(C122="","",SUM(E122:P122))</f>
        <v>0</v>
      </c>
      <c r="R122" s="30">
        <f>IF(C122="","",COUNTIFS(tblPresences[Étudiant],C122,tblPresences[Statut],"R"))</f>
        <v>0</v>
      </c>
      <c r="S122" s="124">
        <f>IF(C122="","",IFERROR((COUNTIFS(tblPresences[Étudiant],C122,tblPresences[Statut],"P")+COUNTIFS(tblPresences[Étudiant],C122,tblPresences[Statut],"R"))/COUNTIF(tblPresences[Étudiant],C122),""))</f>
        <v>0</v>
      </c>
      <c r="T122" s="30">
        <f>IF(C122="","",MAX(E122:P122))</f>
        <v>0</v>
      </c>
      <c r="U122" s="148">
        <f>IF(C122="","",IF(T122&gt;pSeuil,"⚠ ALERTE",""))</f>
        <v>0</v>
      </c>
    </row>
    <row r="123" spans="2:21">
      <c r="B123" s="145">
        <f>IF(C123="","",117)</f>
        <v>0</v>
      </c>
      <c r="C123" s="29">
        <f>IFERROR(INDEX(tblEtudiants[Nom et prénoms],117)&amp;"","")</f>
        <v>0</v>
      </c>
      <c r="D123" s="27">
        <f>IF(C123="","",INDEX(tblEtudiants[Groupe],117)&amp;"")</f>
        <v>0</v>
      </c>
      <c r="E123" s="27">
        <f>IF(OR($C123="",E$5=""),"",COUNTIFS(tblPresences[Étudiant],$C123,tblPresences[Code matière],E$5,tblPresences[Statut],"A"))</f>
        <v>0</v>
      </c>
      <c r="F123" s="27">
        <f>IF(OR($C123="",F$5=""),"",COUNTIFS(tblPresences[Étudiant],$C123,tblPresences[Code matière],F$5,tblPresences[Statut],"A"))</f>
        <v>0</v>
      </c>
      <c r="G123" s="27">
        <f>IF(OR($C123="",G$5=""),"",COUNTIFS(tblPresences[Étudiant],$C123,tblPresences[Code matière],G$5,tblPresences[Statut],"A"))</f>
        <v>0</v>
      </c>
      <c r="H123" s="27">
        <f>IF(OR($C123="",H$5=""),"",COUNTIFS(tblPresences[Étudiant],$C123,tblPresences[Code matière],H$5,tblPresences[Statut],"A"))</f>
        <v>0</v>
      </c>
      <c r="I123" s="27">
        <f>IF(OR($C123="",I$5=""),"",COUNTIFS(tblPresences[Étudiant],$C123,tblPresences[Code matière],I$5,tblPresences[Statut],"A"))</f>
        <v>0</v>
      </c>
      <c r="J123" s="27">
        <f>IF(OR($C123="",J$5=""),"",COUNTIFS(tblPresences[Étudiant],$C123,tblPresences[Code matière],J$5,tblPresences[Statut],"A"))</f>
        <v>0</v>
      </c>
      <c r="K123" s="27">
        <f>IF(OR($C123="",K$5=""),"",COUNTIFS(tblPresences[Étudiant],$C123,tblPresences[Code matière],K$5,tblPresences[Statut],"A"))</f>
        <v>0</v>
      </c>
      <c r="L123" s="27">
        <f>IF(OR($C123="",L$5=""),"",COUNTIFS(tblPresences[Étudiant],$C123,tblPresences[Code matière],L$5,tblPresences[Statut],"A"))</f>
        <v>0</v>
      </c>
      <c r="M123" s="27">
        <f>IF(OR($C123="",M$5=""),"",COUNTIFS(tblPresences[Étudiant],$C123,tblPresences[Code matière],M$5,tblPresences[Statut],"A"))</f>
        <v>0</v>
      </c>
      <c r="N123" s="27">
        <f>IF(OR($C123="",N$5=""),"",COUNTIFS(tblPresences[Étudiant],$C123,tblPresences[Code matière],N$5,tblPresences[Statut],"A"))</f>
        <v>0</v>
      </c>
      <c r="O123" s="27">
        <f>IF(OR($C123="",O$5=""),"",COUNTIFS(tblPresences[Étudiant],$C123,tblPresences[Code matière],O$5,tblPresences[Statut],"A"))</f>
        <v>0</v>
      </c>
      <c r="P123" s="27">
        <f>IF(OR($C123="",P$5=""),"",COUNTIFS(tblPresences[Étudiant],$C123,tblPresences[Code matière],P$5,tblPresences[Statut],"A"))</f>
        <v>0</v>
      </c>
      <c r="Q123" s="28">
        <f>IF(C123="","",SUM(E123:P123))</f>
        <v>0</v>
      </c>
      <c r="R123" s="27">
        <f>IF(C123="","",COUNTIFS(tblPresences[Étudiant],C123,tblPresences[Statut],"R"))</f>
        <v>0</v>
      </c>
      <c r="S123" s="123">
        <f>IF(C123="","",IFERROR((COUNTIFS(tblPresences[Étudiant],C123,tblPresences[Statut],"P")+COUNTIFS(tblPresences[Étudiant],C123,tblPresences[Statut],"R"))/COUNTIF(tblPresences[Étudiant],C123),""))</f>
        <v>0</v>
      </c>
      <c r="T123" s="27">
        <f>IF(C123="","",MAX(E123:P123))</f>
        <v>0</v>
      </c>
      <c r="U123" s="146">
        <f>IF(C123="","",IF(T123&gt;pSeuil,"⚠ ALERTE",""))</f>
        <v>0</v>
      </c>
    </row>
    <row r="124" spans="2:21">
      <c r="B124" s="147">
        <f>IF(C124="","",118)</f>
        <v>0</v>
      </c>
      <c r="C124" s="32">
        <f>IFERROR(INDEX(tblEtudiants[Nom et prénoms],118)&amp;"","")</f>
        <v>0</v>
      </c>
      <c r="D124" s="30">
        <f>IF(C124="","",INDEX(tblEtudiants[Groupe],118)&amp;"")</f>
        <v>0</v>
      </c>
      <c r="E124" s="30">
        <f>IF(OR($C124="",E$5=""),"",COUNTIFS(tblPresences[Étudiant],$C124,tblPresences[Code matière],E$5,tblPresences[Statut],"A"))</f>
        <v>0</v>
      </c>
      <c r="F124" s="30">
        <f>IF(OR($C124="",F$5=""),"",COUNTIFS(tblPresences[Étudiant],$C124,tblPresences[Code matière],F$5,tblPresences[Statut],"A"))</f>
        <v>0</v>
      </c>
      <c r="G124" s="30">
        <f>IF(OR($C124="",G$5=""),"",COUNTIFS(tblPresences[Étudiant],$C124,tblPresences[Code matière],G$5,tblPresences[Statut],"A"))</f>
        <v>0</v>
      </c>
      <c r="H124" s="30">
        <f>IF(OR($C124="",H$5=""),"",COUNTIFS(tblPresences[Étudiant],$C124,tblPresences[Code matière],H$5,tblPresences[Statut],"A"))</f>
        <v>0</v>
      </c>
      <c r="I124" s="30">
        <f>IF(OR($C124="",I$5=""),"",COUNTIFS(tblPresences[Étudiant],$C124,tblPresences[Code matière],I$5,tblPresences[Statut],"A"))</f>
        <v>0</v>
      </c>
      <c r="J124" s="30">
        <f>IF(OR($C124="",J$5=""),"",COUNTIFS(tblPresences[Étudiant],$C124,tblPresences[Code matière],J$5,tblPresences[Statut],"A"))</f>
        <v>0</v>
      </c>
      <c r="K124" s="30">
        <f>IF(OR($C124="",K$5=""),"",COUNTIFS(tblPresences[Étudiant],$C124,tblPresences[Code matière],K$5,tblPresences[Statut],"A"))</f>
        <v>0</v>
      </c>
      <c r="L124" s="30">
        <f>IF(OR($C124="",L$5=""),"",COUNTIFS(tblPresences[Étudiant],$C124,tblPresences[Code matière],L$5,tblPresences[Statut],"A"))</f>
        <v>0</v>
      </c>
      <c r="M124" s="30">
        <f>IF(OR($C124="",M$5=""),"",COUNTIFS(tblPresences[Étudiant],$C124,tblPresences[Code matière],M$5,tblPresences[Statut],"A"))</f>
        <v>0</v>
      </c>
      <c r="N124" s="30">
        <f>IF(OR($C124="",N$5=""),"",COUNTIFS(tblPresences[Étudiant],$C124,tblPresences[Code matière],N$5,tblPresences[Statut],"A"))</f>
        <v>0</v>
      </c>
      <c r="O124" s="30">
        <f>IF(OR($C124="",O$5=""),"",COUNTIFS(tblPresences[Étudiant],$C124,tblPresences[Code matière],O$5,tblPresences[Statut],"A"))</f>
        <v>0</v>
      </c>
      <c r="P124" s="30">
        <f>IF(OR($C124="",P$5=""),"",COUNTIFS(tblPresences[Étudiant],$C124,tblPresences[Code matière],P$5,tblPresences[Statut],"A"))</f>
        <v>0</v>
      </c>
      <c r="Q124" s="31">
        <f>IF(C124="","",SUM(E124:P124))</f>
        <v>0</v>
      </c>
      <c r="R124" s="30">
        <f>IF(C124="","",COUNTIFS(tblPresences[Étudiant],C124,tblPresences[Statut],"R"))</f>
        <v>0</v>
      </c>
      <c r="S124" s="124">
        <f>IF(C124="","",IFERROR((COUNTIFS(tblPresences[Étudiant],C124,tblPresences[Statut],"P")+COUNTIFS(tblPresences[Étudiant],C124,tblPresences[Statut],"R"))/COUNTIF(tblPresences[Étudiant],C124),""))</f>
        <v>0</v>
      </c>
      <c r="T124" s="30">
        <f>IF(C124="","",MAX(E124:P124))</f>
        <v>0</v>
      </c>
      <c r="U124" s="148">
        <f>IF(C124="","",IF(T124&gt;pSeuil,"⚠ ALERTE",""))</f>
        <v>0</v>
      </c>
    </row>
    <row r="125" spans="2:21">
      <c r="B125" s="145">
        <f>IF(C125="","",119)</f>
        <v>0</v>
      </c>
      <c r="C125" s="29">
        <f>IFERROR(INDEX(tblEtudiants[Nom et prénoms],119)&amp;"","")</f>
        <v>0</v>
      </c>
      <c r="D125" s="27">
        <f>IF(C125="","",INDEX(tblEtudiants[Groupe],119)&amp;"")</f>
        <v>0</v>
      </c>
      <c r="E125" s="27">
        <f>IF(OR($C125="",E$5=""),"",COUNTIFS(tblPresences[Étudiant],$C125,tblPresences[Code matière],E$5,tblPresences[Statut],"A"))</f>
        <v>0</v>
      </c>
      <c r="F125" s="27">
        <f>IF(OR($C125="",F$5=""),"",COUNTIFS(tblPresences[Étudiant],$C125,tblPresences[Code matière],F$5,tblPresences[Statut],"A"))</f>
        <v>0</v>
      </c>
      <c r="G125" s="27">
        <f>IF(OR($C125="",G$5=""),"",COUNTIFS(tblPresences[Étudiant],$C125,tblPresences[Code matière],G$5,tblPresences[Statut],"A"))</f>
        <v>0</v>
      </c>
      <c r="H125" s="27">
        <f>IF(OR($C125="",H$5=""),"",COUNTIFS(tblPresences[Étudiant],$C125,tblPresences[Code matière],H$5,tblPresences[Statut],"A"))</f>
        <v>0</v>
      </c>
      <c r="I125" s="27">
        <f>IF(OR($C125="",I$5=""),"",COUNTIFS(tblPresences[Étudiant],$C125,tblPresences[Code matière],I$5,tblPresences[Statut],"A"))</f>
        <v>0</v>
      </c>
      <c r="J125" s="27">
        <f>IF(OR($C125="",J$5=""),"",COUNTIFS(tblPresences[Étudiant],$C125,tblPresences[Code matière],J$5,tblPresences[Statut],"A"))</f>
        <v>0</v>
      </c>
      <c r="K125" s="27">
        <f>IF(OR($C125="",K$5=""),"",COUNTIFS(tblPresences[Étudiant],$C125,tblPresences[Code matière],K$5,tblPresences[Statut],"A"))</f>
        <v>0</v>
      </c>
      <c r="L125" s="27">
        <f>IF(OR($C125="",L$5=""),"",COUNTIFS(tblPresences[Étudiant],$C125,tblPresences[Code matière],L$5,tblPresences[Statut],"A"))</f>
        <v>0</v>
      </c>
      <c r="M125" s="27">
        <f>IF(OR($C125="",M$5=""),"",COUNTIFS(tblPresences[Étudiant],$C125,tblPresences[Code matière],M$5,tblPresences[Statut],"A"))</f>
        <v>0</v>
      </c>
      <c r="N125" s="27">
        <f>IF(OR($C125="",N$5=""),"",COUNTIFS(tblPresences[Étudiant],$C125,tblPresences[Code matière],N$5,tblPresences[Statut],"A"))</f>
        <v>0</v>
      </c>
      <c r="O125" s="27">
        <f>IF(OR($C125="",O$5=""),"",COUNTIFS(tblPresences[Étudiant],$C125,tblPresences[Code matière],O$5,tblPresences[Statut],"A"))</f>
        <v>0</v>
      </c>
      <c r="P125" s="27">
        <f>IF(OR($C125="",P$5=""),"",COUNTIFS(tblPresences[Étudiant],$C125,tblPresences[Code matière],P$5,tblPresences[Statut],"A"))</f>
        <v>0</v>
      </c>
      <c r="Q125" s="28">
        <f>IF(C125="","",SUM(E125:P125))</f>
        <v>0</v>
      </c>
      <c r="R125" s="27">
        <f>IF(C125="","",COUNTIFS(tblPresences[Étudiant],C125,tblPresences[Statut],"R"))</f>
        <v>0</v>
      </c>
      <c r="S125" s="123">
        <f>IF(C125="","",IFERROR((COUNTIFS(tblPresences[Étudiant],C125,tblPresences[Statut],"P")+COUNTIFS(tblPresences[Étudiant],C125,tblPresences[Statut],"R"))/COUNTIF(tblPresences[Étudiant],C125),""))</f>
        <v>0</v>
      </c>
      <c r="T125" s="27">
        <f>IF(C125="","",MAX(E125:P125))</f>
        <v>0</v>
      </c>
      <c r="U125" s="146">
        <f>IF(C125="","",IF(T125&gt;pSeuil,"⚠ ALERTE",""))</f>
        <v>0</v>
      </c>
    </row>
    <row r="126" spans="2:21">
      <c r="B126" s="147">
        <f>IF(C126="","",120)</f>
        <v>0</v>
      </c>
      <c r="C126" s="32">
        <f>IFERROR(INDEX(tblEtudiants[Nom et prénoms],120)&amp;"","")</f>
        <v>0</v>
      </c>
      <c r="D126" s="30">
        <f>IF(C126="","",INDEX(tblEtudiants[Groupe],120)&amp;"")</f>
        <v>0</v>
      </c>
      <c r="E126" s="30">
        <f>IF(OR($C126="",E$5=""),"",COUNTIFS(tblPresences[Étudiant],$C126,tblPresences[Code matière],E$5,tblPresences[Statut],"A"))</f>
        <v>0</v>
      </c>
      <c r="F126" s="30">
        <f>IF(OR($C126="",F$5=""),"",COUNTIFS(tblPresences[Étudiant],$C126,tblPresences[Code matière],F$5,tblPresences[Statut],"A"))</f>
        <v>0</v>
      </c>
      <c r="G126" s="30">
        <f>IF(OR($C126="",G$5=""),"",COUNTIFS(tblPresences[Étudiant],$C126,tblPresences[Code matière],G$5,tblPresences[Statut],"A"))</f>
        <v>0</v>
      </c>
      <c r="H126" s="30">
        <f>IF(OR($C126="",H$5=""),"",COUNTIFS(tblPresences[Étudiant],$C126,tblPresences[Code matière],H$5,tblPresences[Statut],"A"))</f>
        <v>0</v>
      </c>
      <c r="I126" s="30">
        <f>IF(OR($C126="",I$5=""),"",COUNTIFS(tblPresences[Étudiant],$C126,tblPresences[Code matière],I$5,tblPresences[Statut],"A"))</f>
        <v>0</v>
      </c>
      <c r="J126" s="30">
        <f>IF(OR($C126="",J$5=""),"",COUNTIFS(tblPresences[Étudiant],$C126,tblPresences[Code matière],J$5,tblPresences[Statut],"A"))</f>
        <v>0</v>
      </c>
      <c r="K126" s="30">
        <f>IF(OR($C126="",K$5=""),"",COUNTIFS(tblPresences[Étudiant],$C126,tblPresences[Code matière],K$5,tblPresences[Statut],"A"))</f>
        <v>0</v>
      </c>
      <c r="L126" s="30">
        <f>IF(OR($C126="",L$5=""),"",COUNTIFS(tblPresences[Étudiant],$C126,tblPresences[Code matière],L$5,tblPresences[Statut],"A"))</f>
        <v>0</v>
      </c>
      <c r="M126" s="30">
        <f>IF(OR($C126="",M$5=""),"",COUNTIFS(tblPresences[Étudiant],$C126,tblPresences[Code matière],M$5,tblPresences[Statut],"A"))</f>
        <v>0</v>
      </c>
      <c r="N126" s="30">
        <f>IF(OR($C126="",N$5=""),"",COUNTIFS(tblPresences[Étudiant],$C126,tblPresences[Code matière],N$5,tblPresences[Statut],"A"))</f>
        <v>0</v>
      </c>
      <c r="O126" s="30">
        <f>IF(OR($C126="",O$5=""),"",COUNTIFS(tblPresences[Étudiant],$C126,tblPresences[Code matière],O$5,tblPresences[Statut],"A"))</f>
        <v>0</v>
      </c>
      <c r="P126" s="30">
        <f>IF(OR($C126="",P$5=""),"",COUNTIFS(tblPresences[Étudiant],$C126,tblPresences[Code matière],P$5,tblPresences[Statut],"A"))</f>
        <v>0</v>
      </c>
      <c r="Q126" s="31">
        <f>IF(C126="","",SUM(E126:P126))</f>
        <v>0</v>
      </c>
      <c r="R126" s="30">
        <f>IF(C126="","",COUNTIFS(tblPresences[Étudiant],C126,tblPresences[Statut],"R"))</f>
        <v>0</v>
      </c>
      <c r="S126" s="124">
        <f>IF(C126="","",IFERROR((COUNTIFS(tblPresences[Étudiant],C126,tblPresences[Statut],"P")+COUNTIFS(tblPresences[Étudiant],C126,tblPresences[Statut],"R"))/COUNTIF(tblPresences[Étudiant],C126),""))</f>
        <v>0</v>
      </c>
      <c r="T126" s="30">
        <f>IF(C126="","",MAX(E126:P126))</f>
        <v>0</v>
      </c>
      <c r="U126" s="148">
        <f>IF(C126="","",IF(T126&gt;pSeuil,"⚠ ALERTE",""))</f>
        <v>0</v>
      </c>
    </row>
    <row r="127" spans="2:21">
      <c r="B127" s="145">
        <f>IF(C127="","",121)</f>
        <v>0</v>
      </c>
      <c r="C127" s="29">
        <f>IFERROR(INDEX(tblEtudiants[Nom et prénoms],121)&amp;"","")</f>
        <v>0</v>
      </c>
      <c r="D127" s="27">
        <f>IF(C127="","",INDEX(tblEtudiants[Groupe],121)&amp;"")</f>
        <v>0</v>
      </c>
      <c r="E127" s="27">
        <f>IF(OR($C127="",E$5=""),"",COUNTIFS(tblPresences[Étudiant],$C127,tblPresences[Code matière],E$5,tblPresences[Statut],"A"))</f>
        <v>0</v>
      </c>
      <c r="F127" s="27">
        <f>IF(OR($C127="",F$5=""),"",COUNTIFS(tblPresences[Étudiant],$C127,tblPresences[Code matière],F$5,tblPresences[Statut],"A"))</f>
        <v>0</v>
      </c>
      <c r="G127" s="27">
        <f>IF(OR($C127="",G$5=""),"",COUNTIFS(tblPresences[Étudiant],$C127,tblPresences[Code matière],G$5,tblPresences[Statut],"A"))</f>
        <v>0</v>
      </c>
      <c r="H127" s="27">
        <f>IF(OR($C127="",H$5=""),"",COUNTIFS(tblPresences[Étudiant],$C127,tblPresences[Code matière],H$5,tblPresences[Statut],"A"))</f>
        <v>0</v>
      </c>
      <c r="I127" s="27">
        <f>IF(OR($C127="",I$5=""),"",COUNTIFS(tblPresences[Étudiant],$C127,tblPresences[Code matière],I$5,tblPresences[Statut],"A"))</f>
        <v>0</v>
      </c>
      <c r="J127" s="27">
        <f>IF(OR($C127="",J$5=""),"",COUNTIFS(tblPresences[Étudiant],$C127,tblPresences[Code matière],J$5,tblPresences[Statut],"A"))</f>
        <v>0</v>
      </c>
      <c r="K127" s="27">
        <f>IF(OR($C127="",K$5=""),"",COUNTIFS(tblPresences[Étudiant],$C127,tblPresences[Code matière],K$5,tblPresences[Statut],"A"))</f>
        <v>0</v>
      </c>
      <c r="L127" s="27">
        <f>IF(OR($C127="",L$5=""),"",COUNTIFS(tblPresences[Étudiant],$C127,tblPresences[Code matière],L$5,tblPresences[Statut],"A"))</f>
        <v>0</v>
      </c>
      <c r="M127" s="27">
        <f>IF(OR($C127="",M$5=""),"",COUNTIFS(tblPresences[Étudiant],$C127,tblPresences[Code matière],M$5,tblPresences[Statut],"A"))</f>
        <v>0</v>
      </c>
      <c r="N127" s="27">
        <f>IF(OR($C127="",N$5=""),"",COUNTIFS(tblPresences[Étudiant],$C127,tblPresences[Code matière],N$5,tblPresences[Statut],"A"))</f>
        <v>0</v>
      </c>
      <c r="O127" s="27">
        <f>IF(OR($C127="",O$5=""),"",COUNTIFS(tblPresences[Étudiant],$C127,tblPresences[Code matière],O$5,tblPresences[Statut],"A"))</f>
        <v>0</v>
      </c>
      <c r="P127" s="27">
        <f>IF(OR($C127="",P$5=""),"",COUNTIFS(tblPresences[Étudiant],$C127,tblPresences[Code matière],P$5,tblPresences[Statut],"A"))</f>
        <v>0</v>
      </c>
      <c r="Q127" s="28">
        <f>IF(C127="","",SUM(E127:P127))</f>
        <v>0</v>
      </c>
      <c r="R127" s="27">
        <f>IF(C127="","",COUNTIFS(tblPresences[Étudiant],C127,tblPresences[Statut],"R"))</f>
        <v>0</v>
      </c>
      <c r="S127" s="123">
        <f>IF(C127="","",IFERROR((COUNTIFS(tblPresences[Étudiant],C127,tblPresences[Statut],"P")+COUNTIFS(tblPresences[Étudiant],C127,tblPresences[Statut],"R"))/COUNTIF(tblPresences[Étudiant],C127),""))</f>
        <v>0</v>
      </c>
      <c r="T127" s="27">
        <f>IF(C127="","",MAX(E127:P127))</f>
        <v>0</v>
      </c>
      <c r="U127" s="146">
        <f>IF(C127="","",IF(T127&gt;pSeuil,"⚠ ALERTE",""))</f>
        <v>0</v>
      </c>
    </row>
    <row r="128" spans="2:21">
      <c r="B128" s="147">
        <f>IF(C128="","",122)</f>
        <v>0</v>
      </c>
      <c r="C128" s="32">
        <f>IFERROR(INDEX(tblEtudiants[Nom et prénoms],122)&amp;"","")</f>
        <v>0</v>
      </c>
      <c r="D128" s="30">
        <f>IF(C128="","",INDEX(tblEtudiants[Groupe],122)&amp;"")</f>
        <v>0</v>
      </c>
      <c r="E128" s="30">
        <f>IF(OR($C128="",E$5=""),"",COUNTIFS(tblPresences[Étudiant],$C128,tblPresences[Code matière],E$5,tblPresences[Statut],"A"))</f>
        <v>0</v>
      </c>
      <c r="F128" s="30">
        <f>IF(OR($C128="",F$5=""),"",COUNTIFS(tblPresences[Étudiant],$C128,tblPresences[Code matière],F$5,tblPresences[Statut],"A"))</f>
        <v>0</v>
      </c>
      <c r="G128" s="30">
        <f>IF(OR($C128="",G$5=""),"",COUNTIFS(tblPresences[Étudiant],$C128,tblPresences[Code matière],G$5,tblPresences[Statut],"A"))</f>
        <v>0</v>
      </c>
      <c r="H128" s="30">
        <f>IF(OR($C128="",H$5=""),"",COUNTIFS(tblPresences[Étudiant],$C128,tblPresences[Code matière],H$5,tblPresences[Statut],"A"))</f>
        <v>0</v>
      </c>
      <c r="I128" s="30">
        <f>IF(OR($C128="",I$5=""),"",COUNTIFS(tblPresences[Étudiant],$C128,tblPresences[Code matière],I$5,tblPresences[Statut],"A"))</f>
        <v>0</v>
      </c>
      <c r="J128" s="30">
        <f>IF(OR($C128="",J$5=""),"",COUNTIFS(tblPresences[Étudiant],$C128,tblPresences[Code matière],J$5,tblPresences[Statut],"A"))</f>
        <v>0</v>
      </c>
      <c r="K128" s="30">
        <f>IF(OR($C128="",K$5=""),"",COUNTIFS(tblPresences[Étudiant],$C128,tblPresences[Code matière],K$5,tblPresences[Statut],"A"))</f>
        <v>0</v>
      </c>
      <c r="L128" s="30">
        <f>IF(OR($C128="",L$5=""),"",COUNTIFS(tblPresences[Étudiant],$C128,tblPresences[Code matière],L$5,tblPresences[Statut],"A"))</f>
        <v>0</v>
      </c>
      <c r="M128" s="30">
        <f>IF(OR($C128="",M$5=""),"",COUNTIFS(tblPresences[Étudiant],$C128,tblPresences[Code matière],M$5,tblPresences[Statut],"A"))</f>
        <v>0</v>
      </c>
      <c r="N128" s="30">
        <f>IF(OR($C128="",N$5=""),"",COUNTIFS(tblPresences[Étudiant],$C128,tblPresences[Code matière],N$5,tblPresences[Statut],"A"))</f>
        <v>0</v>
      </c>
      <c r="O128" s="30">
        <f>IF(OR($C128="",O$5=""),"",COUNTIFS(tblPresences[Étudiant],$C128,tblPresences[Code matière],O$5,tblPresences[Statut],"A"))</f>
        <v>0</v>
      </c>
      <c r="P128" s="30">
        <f>IF(OR($C128="",P$5=""),"",COUNTIFS(tblPresences[Étudiant],$C128,tblPresences[Code matière],P$5,tblPresences[Statut],"A"))</f>
        <v>0</v>
      </c>
      <c r="Q128" s="31">
        <f>IF(C128="","",SUM(E128:P128))</f>
        <v>0</v>
      </c>
      <c r="R128" s="30">
        <f>IF(C128="","",COUNTIFS(tblPresences[Étudiant],C128,tblPresences[Statut],"R"))</f>
        <v>0</v>
      </c>
      <c r="S128" s="124">
        <f>IF(C128="","",IFERROR((COUNTIFS(tblPresences[Étudiant],C128,tblPresences[Statut],"P")+COUNTIFS(tblPresences[Étudiant],C128,tblPresences[Statut],"R"))/COUNTIF(tblPresences[Étudiant],C128),""))</f>
        <v>0</v>
      </c>
      <c r="T128" s="30">
        <f>IF(C128="","",MAX(E128:P128))</f>
        <v>0</v>
      </c>
      <c r="U128" s="148">
        <f>IF(C128="","",IF(T128&gt;pSeuil,"⚠ ALERTE",""))</f>
        <v>0</v>
      </c>
    </row>
    <row r="129" spans="2:21">
      <c r="B129" s="145">
        <f>IF(C129="","",123)</f>
        <v>0</v>
      </c>
      <c r="C129" s="29">
        <f>IFERROR(INDEX(tblEtudiants[Nom et prénoms],123)&amp;"","")</f>
        <v>0</v>
      </c>
      <c r="D129" s="27">
        <f>IF(C129="","",INDEX(tblEtudiants[Groupe],123)&amp;"")</f>
        <v>0</v>
      </c>
      <c r="E129" s="27">
        <f>IF(OR($C129="",E$5=""),"",COUNTIFS(tblPresences[Étudiant],$C129,tblPresences[Code matière],E$5,tblPresences[Statut],"A"))</f>
        <v>0</v>
      </c>
      <c r="F129" s="27">
        <f>IF(OR($C129="",F$5=""),"",COUNTIFS(tblPresences[Étudiant],$C129,tblPresences[Code matière],F$5,tblPresences[Statut],"A"))</f>
        <v>0</v>
      </c>
      <c r="G129" s="27">
        <f>IF(OR($C129="",G$5=""),"",COUNTIFS(tblPresences[Étudiant],$C129,tblPresences[Code matière],G$5,tblPresences[Statut],"A"))</f>
        <v>0</v>
      </c>
      <c r="H129" s="27">
        <f>IF(OR($C129="",H$5=""),"",COUNTIFS(tblPresences[Étudiant],$C129,tblPresences[Code matière],H$5,tblPresences[Statut],"A"))</f>
        <v>0</v>
      </c>
      <c r="I129" s="27">
        <f>IF(OR($C129="",I$5=""),"",COUNTIFS(tblPresences[Étudiant],$C129,tblPresences[Code matière],I$5,tblPresences[Statut],"A"))</f>
        <v>0</v>
      </c>
      <c r="J129" s="27">
        <f>IF(OR($C129="",J$5=""),"",COUNTIFS(tblPresences[Étudiant],$C129,tblPresences[Code matière],J$5,tblPresences[Statut],"A"))</f>
        <v>0</v>
      </c>
      <c r="K129" s="27">
        <f>IF(OR($C129="",K$5=""),"",COUNTIFS(tblPresences[Étudiant],$C129,tblPresences[Code matière],K$5,tblPresences[Statut],"A"))</f>
        <v>0</v>
      </c>
      <c r="L129" s="27">
        <f>IF(OR($C129="",L$5=""),"",COUNTIFS(tblPresences[Étudiant],$C129,tblPresences[Code matière],L$5,tblPresences[Statut],"A"))</f>
        <v>0</v>
      </c>
      <c r="M129" s="27">
        <f>IF(OR($C129="",M$5=""),"",COUNTIFS(tblPresences[Étudiant],$C129,tblPresences[Code matière],M$5,tblPresences[Statut],"A"))</f>
        <v>0</v>
      </c>
      <c r="N129" s="27">
        <f>IF(OR($C129="",N$5=""),"",COUNTIFS(tblPresences[Étudiant],$C129,tblPresences[Code matière],N$5,tblPresences[Statut],"A"))</f>
        <v>0</v>
      </c>
      <c r="O129" s="27">
        <f>IF(OR($C129="",O$5=""),"",COUNTIFS(tblPresences[Étudiant],$C129,tblPresences[Code matière],O$5,tblPresences[Statut],"A"))</f>
        <v>0</v>
      </c>
      <c r="P129" s="27">
        <f>IF(OR($C129="",P$5=""),"",COUNTIFS(tblPresences[Étudiant],$C129,tblPresences[Code matière],P$5,tblPresences[Statut],"A"))</f>
        <v>0</v>
      </c>
      <c r="Q129" s="28">
        <f>IF(C129="","",SUM(E129:P129))</f>
        <v>0</v>
      </c>
      <c r="R129" s="27">
        <f>IF(C129="","",COUNTIFS(tblPresences[Étudiant],C129,tblPresences[Statut],"R"))</f>
        <v>0</v>
      </c>
      <c r="S129" s="123">
        <f>IF(C129="","",IFERROR((COUNTIFS(tblPresences[Étudiant],C129,tblPresences[Statut],"P")+COUNTIFS(tblPresences[Étudiant],C129,tblPresences[Statut],"R"))/COUNTIF(tblPresences[Étudiant],C129),""))</f>
        <v>0</v>
      </c>
      <c r="T129" s="27">
        <f>IF(C129="","",MAX(E129:P129))</f>
        <v>0</v>
      </c>
      <c r="U129" s="146">
        <f>IF(C129="","",IF(T129&gt;pSeuil,"⚠ ALERTE",""))</f>
        <v>0</v>
      </c>
    </row>
    <row r="130" spans="2:21">
      <c r="B130" s="147">
        <f>IF(C130="","",124)</f>
        <v>0</v>
      </c>
      <c r="C130" s="32">
        <f>IFERROR(INDEX(tblEtudiants[Nom et prénoms],124)&amp;"","")</f>
        <v>0</v>
      </c>
      <c r="D130" s="30">
        <f>IF(C130="","",INDEX(tblEtudiants[Groupe],124)&amp;"")</f>
        <v>0</v>
      </c>
      <c r="E130" s="30">
        <f>IF(OR($C130="",E$5=""),"",COUNTIFS(tblPresences[Étudiant],$C130,tblPresences[Code matière],E$5,tblPresences[Statut],"A"))</f>
        <v>0</v>
      </c>
      <c r="F130" s="30">
        <f>IF(OR($C130="",F$5=""),"",COUNTIFS(tblPresences[Étudiant],$C130,tblPresences[Code matière],F$5,tblPresences[Statut],"A"))</f>
        <v>0</v>
      </c>
      <c r="G130" s="30">
        <f>IF(OR($C130="",G$5=""),"",COUNTIFS(tblPresences[Étudiant],$C130,tblPresences[Code matière],G$5,tblPresences[Statut],"A"))</f>
        <v>0</v>
      </c>
      <c r="H130" s="30">
        <f>IF(OR($C130="",H$5=""),"",COUNTIFS(tblPresences[Étudiant],$C130,tblPresences[Code matière],H$5,tblPresences[Statut],"A"))</f>
        <v>0</v>
      </c>
      <c r="I130" s="30">
        <f>IF(OR($C130="",I$5=""),"",COUNTIFS(tblPresences[Étudiant],$C130,tblPresences[Code matière],I$5,tblPresences[Statut],"A"))</f>
        <v>0</v>
      </c>
      <c r="J130" s="30">
        <f>IF(OR($C130="",J$5=""),"",COUNTIFS(tblPresences[Étudiant],$C130,tblPresences[Code matière],J$5,tblPresences[Statut],"A"))</f>
        <v>0</v>
      </c>
      <c r="K130" s="30">
        <f>IF(OR($C130="",K$5=""),"",COUNTIFS(tblPresences[Étudiant],$C130,tblPresences[Code matière],K$5,tblPresences[Statut],"A"))</f>
        <v>0</v>
      </c>
      <c r="L130" s="30">
        <f>IF(OR($C130="",L$5=""),"",COUNTIFS(tblPresences[Étudiant],$C130,tblPresences[Code matière],L$5,tblPresences[Statut],"A"))</f>
        <v>0</v>
      </c>
      <c r="M130" s="30">
        <f>IF(OR($C130="",M$5=""),"",COUNTIFS(tblPresences[Étudiant],$C130,tblPresences[Code matière],M$5,tblPresences[Statut],"A"))</f>
        <v>0</v>
      </c>
      <c r="N130" s="30">
        <f>IF(OR($C130="",N$5=""),"",COUNTIFS(tblPresences[Étudiant],$C130,tblPresences[Code matière],N$5,tblPresences[Statut],"A"))</f>
        <v>0</v>
      </c>
      <c r="O130" s="30">
        <f>IF(OR($C130="",O$5=""),"",COUNTIFS(tblPresences[Étudiant],$C130,tblPresences[Code matière],O$5,tblPresences[Statut],"A"))</f>
        <v>0</v>
      </c>
      <c r="P130" s="30">
        <f>IF(OR($C130="",P$5=""),"",COUNTIFS(tblPresences[Étudiant],$C130,tblPresences[Code matière],P$5,tblPresences[Statut],"A"))</f>
        <v>0</v>
      </c>
      <c r="Q130" s="31">
        <f>IF(C130="","",SUM(E130:P130))</f>
        <v>0</v>
      </c>
      <c r="R130" s="30">
        <f>IF(C130="","",COUNTIFS(tblPresences[Étudiant],C130,tblPresences[Statut],"R"))</f>
        <v>0</v>
      </c>
      <c r="S130" s="124">
        <f>IF(C130="","",IFERROR((COUNTIFS(tblPresences[Étudiant],C130,tblPresences[Statut],"P")+COUNTIFS(tblPresences[Étudiant],C130,tblPresences[Statut],"R"))/COUNTIF(tblPresences[Étudiant],C130),""))</f>
        <v>0</v>
      </c>
      <c r="T130" s="30">
        <f>IF(C130="","",MAX(E130:P130))</f>
        <v>0</v>
      </c>
      <c r="U130" s="148">
        <f>IF(C130="","",IF(T130&gt;pSeuil,"⚠ ALERTE",""))</f>
        <v>0</v>
      </c>
    </row>
    <row r="131" spans="2:21">
      <c r="B131" s="145">
        <f>IF(C131="","",125)</f>
        <v>0</v>
      </c>
      <c r="C131" s="29">
        <f>IFERROR(INDEX(tblEtudiants[Nom et prénoms],125)&amp;"","")</f>
        <v>0</v>
      </c>
      <c r="D131" s="27">
        <f>IF(C131="","",INDEX(tblEtudiants[Groupe],125)&amp;"")</f>
        <v>0</v>
      </c>
      <c r="E131" s="27">
        <f>IF(OR($C131="",E$5=""),"",COUNTIFS(tblPresences[Étudiant],$C131,tblPresences[Code matière],E$5,tblPresences[Statut],"A"))</f>
        <v>0</v>
      </c>
      <c r="F131" s="27">
        <f>IF(OR($C131="",F$5=""),"",COUNTIFS(tblPresences[Étudiant],$C131,tblPresences[Code matière],F$5,tblPresences[Statut],"A"))</f>
        <v>0</v>
      </c>
      <c r="G131" s="27">
        <f>IF(OR($C131="",G$5=""),"",COUNTIFS(tblPresences[Étudiant],$C131,tblPresences[Code matière],G$5,tblPresences[Statut],"A"))</f>
        <v>0</v>
      </c>
      <c r="H131" s="27">
        <f>IF(OR($C131="",H$5=""),"",COUNTIFS(tblPresences[Étudiant],$C131,tblPresences[Code matière],H$5,tblPresences[Statut],"A"))</f>
        <v>0</v>
      </c>
      <c r="I131" s="27">
        <f>IF(OR($C131="",I$5=""),"",COUNTIFS(tblPresences[Étudiant],$C131,tblPresences[Code matière],I$5,tblPresences[Statut],"A"))</f>
        <v>0</v>
      </c>
      <c r="J131" s="27">
        <f>IF(OR($C131="",J$5=""),"",COUNTIFS(tblPresences[Étudiant],$C131,tblPresences[Code matière],J$5,tblPresences[Statut],"A"))</f>
        <v>0</v>
      </c>
      <c r="K131" s="27">
        <f>IF(OR($C131="",K$5=""),"",COUNTIFS(tblPresences[Étudiant],$C131,tblPresences[Code matière],K$5,tblPresences[Statut],"A"))</f>
        <v>0</v>
      </c>
      <c r="L131" s="27">
        <f>IF(OR($C131="",L$5=""),"",COUNTIFS(tblPresences[Étudiant],$C131,tblPresences[Code matière],L$5,tblPresences[Statut],"A"))</f>
        <v>0</v>
      </c>
      <c r="M131" s="27">
        <f>IF(OR($C131="",M$5=""),"",COUNTIFS(tblPresences[Étudiant],$C131,tblPresences[Code matière],M$5,tblPresences[Statut],"A"))</f>
        <v>0</v>
      </c>
      <c r="N131" s="27">
        <f>IF(OR($C131="",N$5=""),"",COUNTIFS(tblPresences[Étudiant],$C131,tblPresences[Code matière],N$5,tblPresences[Statut],"A"))</f>
        <v>0</v>
      </c>
      <c r="O131" s="27">
        <f>IF(OR($C131="",O$5=""),"",COUNTIFS(tblPresences[Étudiant],$C131,tblPresences[Code matière],O$5,tblPresences[Statut],"A"))</f>
        <v>0</v>
      </c>
      <c r="P131" s="27">
        <f>IF(OR($C131="",P$5=""),"",COUNTIFS(tblPresences[Étudiant],$C131,tblPresences[Code matière],P$5,tblPresences[Statut],"A"))</f>
        <v>0</v>
      </c>
      <c r="Q131" s="28">
        <f>IF(C131="","",SUM(E131:P131))</f>
        <v>0</v>
      </c>
      <c r="R131" s="27">
        <f>IF(C131="","",COUNTIFS(tblPresences[Étudiant],C131,tblPresences[Statut],"R"))</f>
        <v>0</v>
      </c>
      <c r="S131" s="123">
        <f>IF(C131="","",IFERROR((COUNTIFS(tblPresences[Étudiant],C131,tblPresences[Statut],"P")+COUNTIFS(tblPresences[Étudiant],C131,tblPresences[Statut],"R"))/COUNTIF(tblPresences[Étudiant],C131),""))</f>
        <v>0</v>
      </c>
      <c r="T131" s="27">
        <f>IF(C131="","",MAX(E131:P131))</f>
        <v>0</v>
      </c>
      <c r="U131" s="146">
        <f>IF(C131="","",IF(T131&gt;pSeuil,"⚠ ALERTE",""))</f>
        <v>0</v>
      </c>
    </row>
    <row r="132" spans="2:21">
      <c r="B132" s="147">
        <f>IF(C132="","",126)</f>
        <v>0</v>
      </c>
      <c r="C132" s="32">
        <f>IFERROR(INDEX(tblEtudiants[Nom et prénoms],126)&amp;"","")</f>
        <v>0</v>
      </c>
      <c r="D132" s="30">
        <f>IF(C132="","",INDEX(tblEtudiants[Groupe],126)&amp;"")</f>
        <v>0</v>
      </c>
      <c r="E132" s="30">
        <f>IF(OR($C132="",E$5=""),"",COUNTIFS(tblPresences[Étudiant],$C132,tblPresences[Code matière],E$5,tblPresences[Statut],"A"))</f>
        <v>0</v>
      </c>
      <c r="F132" s="30">
        <f>IF(OR($C132="",F$5=""),"",COUNTIFS(tblPresences[Étudiant],$C132,tblPresences[Code matière],F$5,tblPresences[Statut],"A"))</f>
        <v>0</v>
      </c>
      <c r="G132" s="30">
        <f>IF(OR($C132="",G$5=""),"",COUNTIFS(tblPresences[Étudiant],$C132,tblPresences[Code matière],G$5,tblPresences[Statut],"A"))</f>
        <v>0</v>
      </c>
      <c r="H132" s="30">
        <f>IF(OR($C132="",H$5=""),"",COUNTIFS(tblPresences[Étudiant],$C132,tblPresences[Code matière],H$5,tblPresences[Statut],"A"))</f>
        <v>0</v>
      </c>
      <c r="I132" s="30">
        <f>IF(OR($C132="",I$5=""),"",COUNTIFS(tblPresences[Étudiant],$C132,tblPresences[Code matière],I$5,tblPresences[Statut],"A"))</f>
        <v>0</v>
      </c>
      <c r="J132" s="30">
        <f>IF(OR($C132="",J$5=""),"",COUNTIFS(tblPresences[Étudiant],$C132,tblPresences[Code matière],J$5,tblPresences[Statut],"A"))</f>
        <v>0</v>
      </c>
      <c r="K132" s="30">
        <f>IF(OR($C132="",K$5=""),"",COUNTIFS(tblPresences[Étudiant],$C132,tblPresences[Code matière],K$5,tblPresences[Statut],"A"))</f>
        <v>0</v>
      </c>
      <c r="L132" s="30">
        <f>IF(OR($C132="",L$5=""),"",COUNTIFS(tblPresences[Étudiant],$C132,tblPresences[Code matière],L$5,tblPresences[Statut],"A"))</f>
        <v>0</v>
      </c>
      <c r="M132" s="30">
        <f>IF(OR($C132="",M$5=""),"",COUNTIFS(tblPresences[Étudiant],$C132,tblPresences[Code matière],M$5,tblPresences[Statut],"A"))</f>
        <v>0</v>
      </c>
      <c r="N132" s="30">
        <f>IF(OR($C132="",N$5=""),"",COUNTIFS(tblPresences[Étudiant],$C132,tblPresences[Code matière],N$5,tblPresences[Statut],"A"))</f>
        <v>0</v>
      </c>
      <c r="O132" s="30">
        <f>IF(OR($C132="",O$5=""),"",COUNTIFS(tblPresences[Étudiant],$C132,tblPresences[Code matière],O$5,tblPresences[Statut],"A"))</f>
        <v>0</v>
      </c>
      <c r="P132" s="30">
        <f>IF(OR($C132="",P$5=""),"",COUNTIFS(tblPresences[Étudiant],$C132,tblPresences[Code matière],P$5,tblPresences[Statut],"A"))</f>
        <v>0</v>
      </c>
      <c r="Q132" s="31">
        <f>IF(C132="","",SUM(E132:P132))</f>
        <v>0</v>
      </c>
      <c r="R132" s="30">
        <f>IF(C132="","",COUNTIFS(tblPresences[Étudiant],C132,tblPresences[Statut],"R"))</f>
        <v>0</v>
      </c>
      <c r="S132" s="124">
        <f>IF(C132="","",IFERROR((COUNTIFS(tblPresences[Étudiant],C132,tblPresences[Statut],"P")+COUNTIFS(tblPresences[Étudiant],C132,tblPresences[Statut],"R"))/COUNTIF(tblPresences[Étudiant],C132),""))</f>
        <v>0</v>
      </c>
      <c r="T132" s="30">
        <f>IF(C132="","",MAX(E132:P132))</f>
        <v>0</v>
      </c>
      <c r="U132" s="148">
        <f>IF(C132="","",IF(T132&gt;pSeuil,"⚠ ALERTE",""))</f>
        <v>0</v>
      </c>
    </row>
    <row r="133" spans="2:21">
      <c r="B133" s="145">
        <f>IF(C133="","",127)</f>
        <v>0</v>
      </c>
      <c r="C133" s="29">
        <f>IFERROR(INDEX(tblEtudiants[Nom et prénoms],127)&amp;"","")</f>
        <v>0</v>
      </c>
      <c r="D133" s="27">
        <f>IF(C133="","",INDEX(tblEtudiants[Groupe],127)&amp;"")</f>
        <v>0</v>
      </c>
      <c r="E133" s="27">
        <f>IF(OR($C133="",E$5=""),"",COUNTIFS(tblPresences[Étudiant],$C133,tblPresences[Code matière],E$5,tblPresences[Statut],"A"))</f>
        <v>0</v>
      </c>
      <c r="F133" s="27">
        <f>IF(OR($C133="",F$5=""),"",COUNTIFS(tblPresences[Étudiant],$C133,tblPresences[Code matière],F$5,tblPresences[Statut],"A"))</f>
        <v>0</v>
      </c>
      <c r="G133" s="27">
        <f>IF(OR($C133="",G$5=""),"",COUNTIFS(tblPresences[Étudiant],$C133,tblPresences[Code matière],G$5,tblPresences[Statut],"A"))</f>
        <v>0</v>
      </c>
      <c r="H133" s="27">
        <f>IF(OR($C133="",H$5=""),"",COUNTIFS(tblPresences[Étudiant],$C133,tblPresences[Code matière],H$5,tblPresences[Statut],"A"))</f>
        <v>0</v>
      </c>
      <c r="I133" s="27">
        <f>IF(OR($C133="",I$5=""),"",COUNTIFS(tblPresences[Étudiant],$C133,tblPresences[Code matière],I$5,tblPresences[Statut],"A"))</f>
        <v>0</v>
      </c>
      <c r="J133" s="27">
        <f>IF(OR($C133="",J$5=""),"",COUNTIFS(tblPresences[Étudiant],$C133,tblPresences[Code matière],J$5,tblPresences[Statut],"A"))</f>
        <v>0</v>
      </c>
      <c r="K133" s="27">
        <f>IF(OR($C133="",K$5=""),"",COUNTIFS(tblPresences[Étudiant],$C133,tblPresences[Code matière],K$5,tblPresences[Statut],"A"))</f>
        <v>0</v>
      </c>
      <c r="L133" s="27">
        <f>IF(OR($C133="",L$5=""),"",COUNTIFS(tblPresences[Étudiant],$C133,tblPresences[Code matière],L$5,tblPresences[Statut],"A"))</f>
        <v>0</v>
      </c>
      <c r="M133" s="27">
        <f>IF(OR($C133="",M$5=""),"",COUNTIFS(tblPresences[Étudiant],$C133,tblPresences[Code matière],M$5,tblPresences[Statut],"A"))</f>
        <v>0</v>
      </c>
      <c r="N133" s="27">
        <f>IF(OR($C133="",N$5=""),"",COUNTIFS(tblPresences[Étudiant],$C133,tblPresences[Code matière],N$5,tblPresences[Statut],"A"))</f>
        <v>0</v>
      </c>
      <c r="O133" s="27">
        <f>IF(OR($C133="",O$5=""),"",COUNTIFS(tblPresences[Étudiant],$C133,tblPresences[Code matière],O$5,tblPresences[Statut],"A"))</f>
        <v>0</v>
      </c>
      <c r="P133" s="27">
        <f>IF(OR($C133="",P$5=""),"",COUNTIFS(tblPresences[Étudiant],$C133,tblPresences[Code matière],P$5,tblPresences[Statut],"A"))</f>
        <v>0</v>
      </c>
      <c r="Q133" s="28">
        <f>IF(C133="","",SUM(E133:P133))</f>
        <v>0</v>
      </c>
      <c r="R133" s="27">
        <f>IF(C133="","",COUNTIFS(tblPresences[Étudiant],C133,tblPresences[Statut],"R"))</f>
        <v>0</v>
      </c>
      <c r="S133" s="123">
        <f>IF(C133="","",IFERROR((COUNTIFS(tblPresences[Étudiant],C133,tblPresences[Statut],"P")+COUNTIFS(tblPresences[Étudiant],C133,tblPresences[Statut],"R"))/COUNTIF(tblPresences[Étudiant],C133),""))</f>
        <v>0</v>
      </c>
      <c r="T133" s="27">
        <f>IF(C133="","",MAX(E133:P133))</f>
        <v>0</v>
      </c>
      <c r="U133" s="146">
        <f>IF(C133="","",IF(T133&gt;pSeuil,"⚠ ALERTE",""))</f>
        <v>0</v>
      </c>
    </row>
    <row r="134" spans="2:21">
      <c r="B134" s="147">
        <f>IF(C134="","",128)</f>
        <v>0</v>
      </c>
      <c r="C134" s="32">
        <f>IFERROR(INDEX(tblEtudiants[Nom et prénoms],128)&amp;"","")</f>
        <v>0</v>
      </c>
      <c r="D134" s="30">
        <f>IF(C134="","",INDEX(tblEtudiants[Groupe],128)&amp;"")</f>
        <v>0</v>
      </c>
      <c r="E134" s="30">
        <f>IF(OR($C134="",E$5=""),"",COUNTIFS(tblPresences[Étudiant],$C134,tblPresences[Code matière],E$5,tblPresences[Statut],"A"))</f>
        <v>0</v>
      </c>
      <c r="F134" s="30">
        <f>IF(OR($C134="",F$5=""),"",COUNTIFS(tblPresences[Étudiant],$C134,tblPresences[Code matière],F$5,tblPresences[Statut],"A"))</f>
        <v>0</v>
      </c>
      <c r="G134" s="30">
        <f>IF(OR($C134="",G$5=""),"",COUNTIFS(tblPresences[Étudiant],$C134,tblPresences[Code matière],G$5,tblPresences[Statut],"A"))</f>
        <v>0</v>
      </c>
      <c r="H134" s="30">
        <f>IF(OR($C134="",H$5=""),"",COUNTIFS(tblPresences[Étudiant],$C134,tblPresences[Code matière],H$5,tblPresences[Statut],"A"))</f>
        <v>0</v>
      </c>
      <c r="I134" s="30">
        <f>IF(OR($C134="",I$5=""),"",COUNTIFS(tblPresences[Étudiant],$C134,tblPresences[Code matière],I$5,tblPresences[Statut],"A"))</f>
        <v>0</v>
      </c>
      <c r="J134" s="30">
        <f>IF(OR($C134="",J$5=""),"",COUNTIFS(tblPresences[Étudiant],$C134,tblPresences[Code matière],J$5,tblPresences[Statut],"A"))</f>
        <v>0</v>
      </c>
      <c r="K134" s="30">
        <f>IF(OR($C134="",K$5=""),"",COUNTIFS(tblPresences[Étudiant],$C134,tblPresences[Code matière],K$5,tblPresences[Statut],"A"))</f>
        <v>0</v>
      </c>
      <c r="L134" s="30">
        <f>IF(OR($C134="",L$5=""),"",COUNTIFS(tblPresences[Étudiant],$C134,tblPresences[Code matière],L$5,tblPresences[Statut],"A"))</f>
        <v>0</v>
      </c>
      <c r="M134" s="30">
        <f>IF(OR($C134="",M$5=""),"",COUNTIFS(tblPresences[Étudiant],$C134,tblPresences[Code matière],M$5,tblPresences[Statut],"A"))</f>
        <v>0</v>
      </c>
      <c r="N134" s="30">
        <f>IF(OR($C134="",N$5=""),"",COUNTIFS(tblPresences[Étudiant],$C134,tblPresences[Code matière],N$5,tblPresences[Statut],"A"))</f>
        <v>0</v>
      </c>
      <c r="O134" s="30">
        <f>IF(OR($C134="",O$5=""),"",COUNTIFS(tblPresences[Étudiant],$C134,tblPresences[Code matière],O$5,tblPresences[Statut],"A"))</f>
        <v>0</v>
      </c>
      <c r="P134" s="30">
        <f>IF(OR($C134="",P$5=""),"",COUNTIFS(tblPresences[Étudiant],$C134,tblPresences[Code matière],P$5,tblPresences[Statut],"A"))</f>
        <v>0</v>
      </c>
      <c r="Q134" s="31">
        <f>IF(C134="","",SUM(E134:P134))</f>
        <v>0</v>
      </c>
      <c r="R134" s="30">
        <f>IF(C134="","",COUNTIFS(tblPresences[Étudiant],C134,tblPresences[Statut],"R"))</f>
        <v>0</v>
      </c>
      <c r="S134" s="124">
        <f>IF(C134="","",IFERROR((COUNTIFS(tblPresences[Étudiant],C134,tblPresences[Statut],"P")+COUNTIFS(tblPresences[Étudiant],C134,tblPresences[Statut],"R"))/COUNTIF(tblPresences[Étudiant],C134),""))</f>
        <v>0</v>
      </c>
      <c r="T134" s="30">
        <f>IF(C134="","",MAX(E134:P134))</f>
        <v>0</v>
      </c>
      <c r="U134" s="148">
        <f>IF(C134="","",IF(T134&gt;pSeuil,"⚠ ALERTE",""))</f>
        <v>0</v>
      </c>
    </row>
    <row r="135" spans="2:21">
      <c r="B135" s="145">
        <f>IF(C135="","",129)</f>
        <v>0</v>
      </c>
      <c r="C135" s="29">
        <f>IFERROR(INDEX(tblEtudiants[Nom et prénoms],129)&amp;"","")</f>
        <v>0</v>
      </c>
      <c r="D135" s="27">
        <f>IF(C135="","",INDEX(tblEtudiants[Groupe],129)&amp;"")</f>
        <v>0</v>
      </c>
      <c r="E135" s="27">
        <f>IF(OR($C135="",E$5=""),"",COUNTIFS(tblPresences[Étudiant],$C135,tblPresences[Code matière],E$5,tblPresences[Statut],"A"))</f>
        <v>0</v>
      </c>
      <c r="F135" s="27">
        <f>IF(OR($C135="",F$5=""),"",COUNTIFS(tblPresences[Étudiant],$C135,tblPresences[Code matière],F$5,tblPresences[Statut],"A"))</f>
        <v>0</v>
      </c>
      <c r="G135" s="27">
        <f>IF(OR($C135="",G$5=""),"",COUNTIFS(tblPresences[Étudiant],$C135,tblPresences[Code matière],G$5,tblPresences[Statut],"A"))</f>
        <v>0</v>
      </c>
      <c r="H135" s="27">
        <f>IF(OR($C135="",H$5=""),"",COUNTIFS(tblPresences[Étudiant],$C135,tblPresences[Code matière],H$5,tblPresences[Statut],"A"))</f>
        <v>0</v>
      </c>
      <c r="I135" s="27">
        <f>IF(OR($C135="",I$5=""),"",COUNTIFS(tblPresences[Étudiant],$C135,tblPresences[Code matière],I$5,tblPresences[Statut],"A"))</f>
        <v>0</v>
      </c>
      <c r="J135" s="27">
        <f>IF(OR($C135="",J$5=""),"",COUNTIFS(tblPresences[Étudiant],$C135,tblPresences[Code matière],J$5,tblPresences[Statut],"A"))</f>
        <v>0</v>
      </c>
      <c r="K135" s="27">
        <f>IF(OR($C135="",K$5=""),"",COUNTIFS(tblPresences[Étudiant],$C135,tblPresences[Code matière],K$5,tblPresences[Statut],"A"))</f>
        <v>0</v>
      </c>
      <c r="L135" s="27">
        <f>IF(OR($C135="",L$5=""),"",COUNTIFS(tblPresences[Étudiant],$C135,tblPresences[Code matière],L$5,tblPresences[Statut],"A"))</f>
        <v>0</v>
      </c>
      <c r="M135" s="27">
        <f>IF(OR($C135="",M$5=""),"",COUNTIFS(tblPresences[Étudiant],$C135,tblPresences[Code matière],M$5,tblPresences[Statut],"A"))</f>
        <v>0</v>
      </c>
      <c r="N135" s="27">
        <f>IF(OR($C135="",N$5=""),"",COUNTIFS(tblPresences[Étudiant],$C135,tblPresences[Code matière],N$5,tblPresences[Statut],"A"))</f>
        <v>0</v>
      </c>
      <c r="O135" s="27">
        <f>IF(OR($C135="",O$5=""),"",COUNTIFS(tblPresences[Étudiant],$C135,tblPresences[Code matière],O$5,tblPresences[Statut],"A"))</f>
        <v>0</v>
      </c>
      <c r="P135" s="27">
        <f>IF(OR($C135="",P$5=""),"",COUNTIFS(tblPresences[Étudiant],$C135,tblPresences[Code matière],P$5,tblPresences[Statut],"A"))</f>
        <v>0</v>
      </c>
      <c r="Q135" s="28">
        <f>IF(C135="","",SUM(E135:P135))</f>
        <v>0</v>
      </c>
      <c r="R135" s="27">
        <f>IF(C135="","",COUNTIFS(tblPresences[Étudiant],C135,tblPresences[Statut],"R"))</f>
        <v>0</v>
      </c>
      <c r="S135" s="123">
        <f>IF(C135="","",IFERROR((COUNTIFS(tblPresences[Étudiant],C135,tblPresences[Statut],"P")+COUNTIFS(tblPresences[Étudiant],C135,tblPresences[Statut],"R"))/COUNTIF(tblPresences[Étudiant],C135),""))</f>
        <v>0</v>
      </c>
      <c r="T135" s="27">
        <f>IF(C135="","",MAX(E135:P135))</f>
        <v>0</v>
      </c>
      <c r="U135" s="146">
        <f>IF(C135="","",IF(T135&gt;pSeuil,"⚠ ALERTE",""))</f>
        <v>0</v>
      </c>
    </row>
    <row r="136" spans="2:21">
      <c r="B136" s="147">
        <f>IF(C136="","",130)</f>
        <v>0</v>
      </c>
      <c r="C136" s="32">
        <f>IFERROR(INDEX(tblEtudiants[Nom et prénoms],130)&amp;"","")</f>
        <v>0</v>
      </c>
      <c r="D136" s="30">
        <f>IF(C136="","",INDEX(tblEtudiants[Groupe],130)&amp;"")</f>
        <v>0</v>
      </c>
      <c r="E136" s="30">
        <f>IF(OR($C136="",E$5=""),"",COUNTIFS(tblPresences[Étudiant],$C136,tblPresences[Code matière],E$5,tblPresences[Statut],"A"))</f>
        <v>0</v>
      </c>
      <c r="F136" s="30">
        <f>IF(OR($C136="",F$5=""),"",COUNTIFS(tblPresences[Étudiant],$C136,tblPresences[Code matière],F$5,tblPresences[Statut],"A"))</f>
        <v>0</v>
      </c>
      <c r="G136" s="30">
        <f>IF(OR($C136="",G$5=""),"",COUNTIFS(tblPresences[Étudiant],$C136,tblPresences[Code matière],G$5,tblPresences[Statut],"A"))</f>
        <v>0</v>
      </c>
      <c r="H136" s="30">
        <f>IF(OR($C136="",H$5=""),"",COUNTIFS(tblPresences[Étudiant],$C136,tblPresences[Code matière],H$5,tblPresences[Statut],"A"))</f>
        <v>0</v>
      </c>
      <c r="I136" s="30">
        <f>IF(OR($C136="",I$5=""),"",COUNTIFS(tblPresences[Étudiant],$C136,tblPresences[Code matière],I$5,tblPresences[Statut],"A"))</f>
        <v>0</v>
      </c>
      <c r="J136" s="30">
        <f>IF(OR($C136="",J$5=""),"",COUNTIFS(tblPresences[Étudiant],$C136,tblPresences[Code matière],J$5,tblPresences[Statut],"A"))</f>
        <v>0</v>
      </c>
      <c r="K136" s="30">
        <f>IF(OR($C136="",K$5=""),"",COUNTIFS(tblPresences[Étudiant],$C136,tblPresences[Code matière],K$5,tblPresences[Statut],"A"))</f>
        <v>0</v>
      </c>
      <c r="L136" s="30">
        <f>IF(OR($C136="",L$5=""),"",COUNTIFS(tblPresences[Étudiant],$C136,tblPresences[Code matière],L$5,tblPresences[Statut],"A"))</f>
        <v>0</v>
      </c>
      <c r="M136" s="30">
        <f>IF(OR($C136="",M$5=""),"",COUNTIFS(tblPresences[Étudiant],$C136,tblPresences[Code matière],M$5,tblPresences[Statut],"A"))</f>
        <v>0</v>
      </c>
      <c r="N136" s="30">
        <f>IF(OR($C136="",N$5=""),"",COUNTIFS(tblPresences[Étudiant],$C136,tblPresences[Code matière],N$5,tblPresences[Statut],"A"))</f>
        <v>0</v>
      </c>
      <c r="O136" s="30">
        <f>IF(OR($C136="",O$5=""),"",COUNTIFS(tblPresences[Étudiant],$C136,tblPresences[Code matière],O$5,tblPresences[Statut],"A"))</f>
        <v>0</v>
      </c>
      <c r="P136" s="30">
        <f>IF(OR($C136="",P$5=""),"",COUNTIFS(tblPresences[Étudiant],$C136,tblPresences[Code matière],P$5,tblPresences[Statut],"A"))</f>
        <v>0</v>
      </c>
      <c r="Q136" s="31">
        <f>IF(C136="","",SUM(E136:P136))</f>
        <v>0</v>
      </c>
      <c r="R136" s="30">
        <f>IF(C136="","",COUNTIFS(tblPresences[Étudiant],C136,tblPresences[Statut],"R"))</f>
        <v>0</v>
      </c>
      <c r="S136" s="124">
        <f>IF(C136="","",IFERROR((COUNTIFS(tblPresences[Étudiant],C136,tblPresences[Statut],"P")+COUNTIFS(tblPresences[Étudiant],C136,tblPresences[Statut],"R"))/COUNTIF(tblPresences[Étudiant],C136),""))</f>
        <v>0</v>
      </c>
      <c r="T136" s="30">
        <f>IF(C136="","",MAX(E136:P136))</f>
        <v>0</v>
      </c>
      <c r="U136" s="148">
        <f>IF(C136="","",IF(T136&gt;pSeuil,"⚠ ALERTE",""))</f>
        <v>0</v>
      </c>
    </row>
    <row r="137" spans="2:21">
      <c r="B137" s="145">
        <f>IF(C137="","",131)</f>
        <v>0</v>
      </c>
      <c r="C137" s="29">
        <f>IFERROR(INDEX(tblEtudiants[Nom et prénoms],131)&amp;"","")</f>
        <v>0</v>
      </c>
      <c r="D137" s="27">
        <f>IF(C137="","",INDEX(tblEtudiants[Groupe],131)&amp;"")</f>
        <v>0</v>
      </c>
      <c r="E137" s="27">
        <f>IF(OR($C137="",E$5=""),"",COUNTIFS(tblPresences[Étudiant],$C137,tblPresences[Code matière],E$5,tblPresences[Statut],"A"))</f>
        <v>0</v>
      </c>
      <c r="F137" s="27">
        <f>IF(OR($C137="",F$5=""),"",COUNTIFS(tblPresences[Étudiant],$C137,tblPresences[Code matière],F$5,tblPresences[Statut],"A"))</f>
        <v>0</v>
      </c>
      <c r="G137" s="27">
        <f>IF(OR($C137="",G$5=""),"",COUNTIFS(tblPresences[Étudiant],$C137,tblPresences[Code matière],G$5,tblPresences[Statut],"A"))</f>
        <v>0</v>
      </c>
      <c r="H137" s="27">
        <f>IF(OR($C137="",H$5=""),"",COUNTIFS(tblPresences[Étudiant],$C137,tblPresences[Code matière],H$5,tblPresences[Statut],"A"))</f>
        <v>0</v>
      </c>
      <c r="I137" s="27">
        <f>IF(OR($C137="",I$5=""),"",COUNTIFS(tblPresences[Étudiant],$C137,tblPresences[Code matière],I$5,tblPresences[Statut],"A"))</f>
        <v>0</v>
      </c>
      <c r="J137" s="27">
        <f>IF(OR($C137="",J$5=""),"",COUNTIFS(tblPresences[Étudiant],$C137,tblPresences[Code matière],J$5,tblPresences[Statut],"A"))</f>
        <v>0</v>
      </c>
      <c r="K137" s="27">
        <f>IF(OR($C137="",K$5=""),"",COUNTIFS(tblPresences[Étudiant],$C137,tblPresences[Code matière],K$5,tblPresences[Statut],"A"))</f>
        <v>0</v>
      </c>
      <c r="L137" s="27">
        <f>IF(OR($C137="",L$5=""),"",COUNTIFS(tblPresences[Étudiant],$C137,tblPresences[Code matière],L$5,tblPresences[Statut],"A"))</f>
        <v>0</v>
      </c>
      <c r="M137" s="27">
        <f>IF(OR($C137="",M$5=""),"",COUNTIFS(tblPresences[Étudiant],$C137,tblPresences[Code matière],M$5,tblPresences[Statut],"A"))</f>
        <v>0</v>
      </c>
      <c r="N137" s="27">
        <f>IF(OR($C137="",N$5=""),"",COUNTIFS(tblPresences[Étudiant],$C137,tblPresences[Code matière],N$5,tblPresences[Statut],"A"))</f>
        <v>0</v>
      </c>
      <c r="O137" s="27">
        <f>IF(OR($C137="",O$5=""),"",COUNTIFS(tblPresences[Étudiant],$C137,tblPresences[Code matière],O$5,tblPresences[Statut],"A"))</f>
        <v>0</v>
      </c>
      <c r="P137" s="27">
        <f>IF(OR($C137="",P$5=""),"",COUNTIFS(tblPresences[Étudiant],$C137,tblPresences[Code matière],P$5,tblPresences[Statut],"A"))</f>
        <v>0</v>
      </c>
      <c r="Q137" s="28">
        <f>IF(C137="","",SUM(E137:P137))</f>
        <v>0</v>
      </c>
      <c r="R137" s="27">
        <f>IF(C137="","",COUNTIFS(tblPresences[Étudiant],C137,tblPresences[Statut],"R"))</f>
        <v>0</v>
      </c>
      <c r="S137" s="123">
        <f>IF(C137="","",IFERROR((COUNTIFS(tblPresences[Étudiant],C137,tblPresences[Statut],"P")+COUNTIFS(tblPresences[Étudiant],C137,tblPresences[Statut],"R"))/COUNTIF(tblPresences[Étudiant],C137),""))</f>
        <v>0</v>
      </c>
      <c r="T137" s="27">
        <f>IF(C137="","",MAX(E137:P137))</f>
        <v>0</v>
      </c>
      <c r="U137" s="146">
        <f>IF(C137="","",IF(T137&gt;pSeuil,"⚠ ALERTE",""))</f>
        <v>0</v>
      </c>
    </row>
    <row r="138" spans="2:21">
      <c r="B138" s="147">
        <f>IF(C138="","",132)</f>
        <v>0</v>
      </c>
      <c r="C138" s="32">
        <f>IFERROR(INDEX(tblEtudiants[Nom et prénoms],132)&amp;"","")</f>
        <v>0</v>
      </c>
      <c r="D138" s="30">
        <f>IF(C138="","",INDEX(tblEtudiants[Groupe],132)&amp;"")</f>
        <v>0</v>
      </c>
      <c r="E138" s="30">
        <f>IF(OR($C138="",E$5=""),"",COUNTIFS(tblPresences[Étudiant],$C138,tblPresences[Code matière],E$5,tblPresences[Statut],"A"))</f>
        <v>0</v>
      </c>
      <c r="F138" s="30">
        <f>IF(OR($C138="",F$5=""),"",COUNTIFS(tblPresences[Étudiant],$C138,tblPresences[Code matière],F$5,tblPresences[Statut],"A"))</f>
        <v>0</v>
      </c>
      <c r="G138" s="30">
        <f>IF(OR($C138="",G$5=""),"",COUNTIFS(tblPresences[Étudiant],$C138,tblPresences[Code matière],G$5,tblPresences[Statut],"A"))</f>
        <v>0</v>
      </c>
      <c r="H138" s="30">
        <f>IF(OR($C138="",H$5=""),"",COUNTIFS(tblPresences[Étudiant],$C138,tblPresences[Code matière],H$5,tblPresences[Statut],"A"))</f>
        <v>0</v>
      </c>
      <c r="I138" s="30">
        <f>IF(OR($C138="",I$5=""),"",COUNTIFS(tblPresences[Étudiant],$C138,tblPresences[Code matière],I$5,tblPresences[Statut],"A"))</f>
        <v>0</v>
      </c>
      <c r="J138" s="30">
        <f>IF(OR($C138="",J$5=""),"",COUNTIFS(tblPresences[Étudiant],$C138,tblPresences[Code matière],J$5,tblPresences[Statut],"A"))</f>
        <v>0</v>
      </c>
      <c r="K138" s="30">
        <f>IF(OR($C138="",K$5=""),"",COUNTIFS(tblPresences[Étudiant],$C138,tblPresences[Code matière],K$5,tblPresences[Statut],"A"))</f>
        <v>0</v>
      </c>
      <c r="L138" s="30">
        <f>IF(OR($C138="",L$5=""),"",COUNTIFS(tblPresences[Étudiant],$C138,tblPresences[Code matière],L$5,tblPresences[Statut],"A"))</f>
        <v>0</v>
      </c>
      <c r="M138" s="30">
        <f>IF(OR($C138="",M$5=""),"",COUNTIFS(tblPresences[Étudiant],$C138,tblPresences[Code matière],M$5,tblPresences[Statut],"A"))</f>
        <v>0</v>
      </c>
      <c r="N138" s="30">
        <f>IF(OR($C138="",N$5=""),"",COUNTIFS(tblPresences[Étudiant],$C138,tblPresences[Code matière],N$5,tblPresences[Statut],"A"))</f>
        <v>0</v>
      </c>
      <c r="O138" s="30">
        <f>IF(OR($C138="",O$5=""),"",COUNTIFS(tblPresences[Étudiant],$C138,tblPresences[Code matière],O$5,tblPresences[Statut],"A"))</f>
        <v>0</v>
      </c>
      <c r="P138" s="30">
        <f>IF(OR($C138="",P$5=""),"",COUNTIFS(tblPresences[Étudiant],$C138,tblPresences[Code matière],P$5,tblPresences[Statut],"A"))</f>
        <v>0</v>
      </c>
      <c r="Q138" s="31">
        <f>IF(C138="","",SUM(E138:P138))</f>
        <v>0</v>
      </c>
      <c r="R138" s="30">
        <f>IF(C138="","",COUNTIFS(tblPresences[Étudiant],C138,tblPresences[Statut],"R"))</f>
        <v>0</v>
      </c>
      <c r="S138" s="124">
        <f>IF(C138="","",IFERROR((COUNTIFS(tblPresences[Étudiant],C138,tblPresences[Statut],"P")+COUNTIFS(tblPresences[Étudiant],C138,tblPresences[Statut],"R"))/COUNTIF(tblPresences[Étudiant],C138),""))</f>
        <v>0</v>
      </c>
      <c r="T138" s="30">
        <f>IF(C138="","",MAX(E138:P138))</f>
        <v>0</v>
      </c>
      <c r="U138" s="148">
        <f>IF(C138="","",IF(T138&gt;pSeuil,"⚠ ALERTE",""))</f>
        <v>0</v>
      </c>
    </row>
    <row r="139" spans="2:21">
      <c r="B139" s="145">
        <f>IF(C139="","",133)</f>
        <v>0</v>
      </c>
      <c r="C139" s="29">
        <f>IFERROR(INDEX(tblEtudiants[Nom et prénoms],133)&amp;"","")</f>
        <v>0</v>
      </c>
      <c r="D139" s="27">
        <f>IF(C139="","",INDEX(tblEtudiants[Groupe],133)&amp;"")</f>
        <v>0</v>
      </c>
      <c r="E139" s="27">
        <f>IF(OR($C139="",E$5=""),"",COUNTIFS(tblPresences[Étudiant],$C139,tblPresences[Code matière],E$5,tblPresences[Statut],"A"))</f>
        <v>0</v>
      </c>
      <c r="F139" s="27">
        <f>IF(OR($C139="",F$5=""),"",COUNTIFS(tblPresences[Étudiant],$C139,tblPresences[Code matière],F$5,tblPresences[Statut],"A"))</f>
        <v>0</v>
      </c>
      <c r="G139" s="27">
        <f>IF(OR($C139="",G$5=""),"",COUNTIFS(tblPresences[Étudiant],$C139,tblPresences[Code matière],G$5,tblPresences[Statut],"A"))</f>
        <v>0</v>
      </c>
      <c r="H139" s="27">
        <f>IF(OR($C139="",H$5=""),"",COUNTIFS(tblPresences[Étudiant],$C139,tblPresences[Code matière],H$5,tblPresences[Statut],"A"))</f>
        <v>0</v>
      </c>
      <c r="I139" s="27">
        <f>IF(OR($C139="",I$5=""),"",COUNTIFS(tblPresences[Étudiant],$C139,tblPresences[Code matière],I$5,tblPresences[Statut],"A"))</f>
        <v>0</v>
      </c>
      <c r="J139" s="27">
        <f>IF(OR($C139="",J$5=""),"",COUNTIFS(tblPresences[Étudiant],$C139,tblPresences[Code matière],J$5,tblPresences[Statut],"A"))</f>
        <v>0</v>
      </c>
      <c r="K139" s="27">
        <f>IF(OR($C139="",K$5=""),"",COUNTIFS(tblPresences[Étudiant],$C139,tblPresences[Code matière],K$5,tblPresences[Statut],"A"))</f>
        <v>0</v>
      </c>
      <c r="L139" s="27">
        <f>IF(OR($C139="",L$5=""),"",COUNTIFS(tblPresences[Étudiant],$C139,tblPresences[Code matière],L$5,tblPresences[Statut],"A"))</f>
        <v>0</v>
      </c>
      <c r="M139" s="27">
        <f>IF(OR($C139="",M$5=""),"",COUNTIFS(tblPresences[Étudiant],$C139,tblPresences[Code matière],M$5,tblPresences[Statut],"A"))</f>
        <v>0</v>
      </c>
      <c r="N139" s="27">
        <f>IF(OR($C139="",N$5=""),"",COUNTIFS(tblPresences[Étudiant],$C139,tblPresences[Code matière],N$5,tblPresences[Statut],"A"))</f>
        <v>0</v>
      </c>
      <c r="O139" s="27">
        <f>IF(OR($C139="",O$5=""),"",COUNTIFS(tblPresences[Étudiant],$C139,tblPresences[Code matière],O$5,tblPresences[Statut],"A"))</f>
        <v>0</v>
      </c>
      <c r="P139" s="27">
        <f>IF(OR($C139="",P$5=""),"",COUNTIFS(tblPresences[Étudiant],$C139,tblPresences[Code matière],P$5,tblPresences[Statut],"A"))</f>
        <v>0</v>
      </c>
      <c r="Q139" s="28">
        <f>IF(C139="","",SUM(E139:P139))</f>
        <v>0</v>
      </c>
      <c r="R139" s="27">
        <f>IF(C139="","",COUNTIFS(tblPresences[Étudiant],C139,tblPresences[Statut],"R"))</f>
        <v>0</v>
      </c>
      <c r="S139" s="123">
        <f>IF(C139="","",IFERROR((COUNTIFS(tblPresences[Étudiant],C139,tblPresences[Statut],"P")+COUNTIFS(tblPresences[Étudiant],C139,tblPresences[Statut],"R"))/COUNTIF(tblPresences[Étudiant],C139),""))</f>
        <v>0</v>
      </c>
      <c r="T139" s="27">
        <f>IF(C139="","",MAX(E139:P139))</f>
        <v>0</v>
      </c>
      <c r="U139" s="146">
        <f>IF(C139="","",IF(T139&gt;pSeuil,"⚠ ALERTE",""))</f>
        <v>0</v>
      </c>
    </row>
    <row r="140" spans="2:21">
      <c r="B140" s="147">
        <f>IF(C140="","",134)</f>
        <v>0</v>
      </c>
      <c r="C140" s="32">
        <f>IFERROR(INDEX(tblEtudiants[Nom et prénoms],134)&amp;"","")</f>
        <v>0</v>
      </c>
      <c r="D140" s="30">
        <f>IF(C140="","",INDEX(tblEtudiants[Groupe],134)&amp;"")</f>
        <v>0</v>
      </c>
      <c r="E140" s="30">
        <f>IF(OR($C140="",E$5=""),"",COUNTIFS(tblPresences[Étudiant],$C140,tblPresences[Code matière],E$5,tblPresences[Statut],"A"))</f>
        <v>0</v>
      </c>
      <c r="F140" s="30">
        <f>IF(OR($C140="",F$5=""),"",COUNTIFS(tblPresences[Étudiant],$C140,tblPresences[Code matière],F$5,tblPresences[Statut],"A"))</f>
        <v>0</v>
      </c>
      <c r="G140" s="30">
        <f>IF(OR($C140="",G$5=""),"",COUNTIFS(tblPresences[Étudiant],$C140,tblPresences[Code matière],G$5,tblPresences[Statut],"A"))</f>
        <v>0</v>
      </c>
      <c r="H140" s="30">
        <f>IF(OR($C140="",H$5=""),"",COUNTIFS(tblPresences[Étudiant],$C140,tblPresences[Code matière],H$5,tblPresences[Statut],"A"))</f>
        <v>0</v>
      </c>
      <c r="I140" s="30">
        <f>IF(OR($C140="",I$5=""),"",COUNTIFS(tblPresences[Étudiant],$C140,tblPresences[Code matière],I$5,tblPresences[Statut],"A"))</f>
        <v>0</v>
      </c>
      <c r="J140" s="30">
        <f>IF(OR($C140="",J$5=""),"",COUNTIFS(tblPresences[Étudiant],$C140,tblPresences[Code matière],J$5,tblPresences[Statut],"A"))</f>
        <v>0</v>
      </c>
      <c r="K140" s="30">
        <f>IF(OR($C140="",K$5=""),"",COUNTIFS(tblPresences[Étudiant],$C140,tblPresences[Code matière],K$5,tblPresences[Statut],"A"))</f>
        <v>0</v>
      </c>
      <c r="L140" s="30">
        <f>IF(OR($C140="",L$5=""),"",COUNTIFS(tblPresences[Étudiant],$C140,tblPresences[Code matière],L$5,tblPresences[Statut],"A"))</f>
        <v>0</v>
      </c>
      <c r="M140" s="30">
        <f>IF(OR($C140="",M$5=""),"",COUNTIFS(tblPresences[Étudiant],$C140,tblPresences[Code matière],M$5,tblPresences[Statut],"A"))</f>
        <v>0</v>
      </c>
      <c r="N140" s="30">
        <f>IF(OR($C140="",N$5=""),"",COUNTIFS(tblPresences[Étudiant],$C140,tblPresences[Code matière],N$5,tblPresences[Statut],"A"))</f>
        <v>0</v>
      </c>
      <c r="O140" s="30">
        <f>IF(OR($C140="",O$5=""),"",COUNTIFS(tblPresences[Étudiant],$C140,tblPresences[Code matière],O$5,tblPresences[Statut],"A"))</f>
        <v>0</v>
      </c>
      <c r="P140" s="30">
        <f>IF(OR($C140="",P$5=""),"",COUNTIFS(tblPresences[Étudiant],$C140,tblPresences[Code matière],P$5,tblPresences[Statut],"A"))</f>
        <v>0</v>
      </c>
      <c r="Q140" s="31">
        <f>IF(C140="","",SUM(E140:P140))</f>
        <v>0</v>
      </c>
      <c r="R140" s="30">
        <f>IF(C140="","",COUNTIFS(tblPresences[Étudiant],C140,tblPresences[Statut],"R"))</f>
        <v>0</v>
      </c>
      <c r="S140" s="124">
        <f>IF(C140="","",IFERROR((COUNTIFS(tblPresences[Étudiant],C140,tblPresences[Statut],"P")+COUNTIFS(tblPresences[Étudiant],C140,tblPresences[Statut],"R"))/COUNTIF(tblPresences[Étudiant],C140),""))</f>
        <v>0</v>
      </c>
      <c r="T140" s="30">
        <f>IF(C140="","",MAX(E140:P140))</f>
        <v>0</v>
      </c>
      <c r="U140" s="148">
        <f>IF(C140="","",IF(T140&gt;pSeuil,"⚠ ALERTE",""))</f>
        <v>0</v>
      </c>
    </row>
    <row r="141" spans="2:21">
      <c r="B141" s="145">
        <f>IF(C141="","",135)</f>
        <v>0</v>
      </c>
      <c r="C141" s="29">
        <f>IFERROR(INDEX(tblEtudiants[Nom et prénoms],135)&amp;"","")</f>
        <v>0</v>
      </c>
      <c r="D141" s="27">
        <f>IF(C141="","",INDEX(tblEtudiants[Groupe],135)&amp;"")</f>
        <v>0</v>
      </c>
      <c r="E141" s="27">
        <f>IF(OR($C141="",E$5=""),"",COUNTIFS(tblPresences[Étudiant],$C141,tblPresences[Code matière],E$5,tblPresences[Statut],"A"))</f>
        <v>0</v>
      </c>
      <c r="F141" s="27">
        <f>IF(OR($C141="",F$5=""),"",COUNTIFS(tblPresences[Étudiant],$C141,tblPresences[Code matière],F$5,tblPresences[Statut],"A"))</f>
        <v>0</v>
      </c>
      <c r="G141" s="27">
        <f>IF(OR($C141="",G$5=""),"",COUNTIFS(tblPresences[Étudiant],$C141,tblPresences[Code matière],G$5,tblPresences[Statut],"A"))</f>
        <v>0</v>
      </c>
      <c r="H141" s="27">
        <f>IF(OR($C141="",H$5=""),"",COUNTIFS(tblPresences[Étudiant],$C141,tblPresences[Code matière],H$5,tblPresences[Statut],"A"))</f>
        <v>0</v>
      </c>
      <c r="I141" s="27">
        <f>IF(OR($C141="",I$5=""),"",COUNTIFS(tblPresences[Étudiant],$C141,tblPresences[Code matière],I$5,tblPresences[Statut],"A"))</f>
        <v>0</v>
      </c>
      <c r="J141" s="27">
        <f>IF(OR($C141="",J$5=""),"",COUNTIFS(tblPresences[Étudiant],$C141,tblPresences[Code matière],J$5,tblPresences[Statut],"A"))</f>
        <v>0</v>
      </c>
      <c r="K141" s="27">
        <f>IF(OR($C141="",K$5=""),"",COUNTIFS(tblPresences[Étudiant],$C141,tblPresences[Code matière],K$5,tblPresences[Statut],"A"))</f>
        <v>0</v>
      </c>
      <c r="L141" s="27">
        <f>IF(OR($C141="",L$5=""),"",COUNTIFS(tblPresences[Étudiant],$C141,tblPresences[Code matière],L$5,tblPresences[Statut],"A"))</f>
        <v>0</v>
      </c>
      <c r="M141" s="27">
        <f>IF(OR($C141="",M$5=""),"",COUNTIFS(tblPresences[Étudiant],$C141,tblPresences[Code matière],M$5,tblPresences[Statut],"A"))</f>
        <v>0</v>
      </c>
      <c r="N141" s="27">
        <f>IF(OR($C141="",N$5=""),"",COUNTIFS(tblPresences[Étudiant],$C141,tblPresences[Code matière],N$5,tblPresences[Statut],"A"))</f>
        <v>0</v>
      </c>
      <c r="O141" s="27">
        <f>IF(OR($C141="",O$5=""),"",COUNTIFS(tblPresences[Étudiant],$C141,tblPresences[Code matière],O$5,tblPresences[Statut],"A"))</f>
        <v>0</v>
      </c>
      <c r="P141" s="27">
        <f>IF(OR($C141="",P$5=""),"",COUNTIFS(tblPresences[Étudiant],$C141,tblPresences[Code matière],P$5,tblPresences[Statut],"A"))</f>
        <v>0</v>
      </c>
      <c r="Q141" s="28">
        <f>IF(C141="","",SUM(E141:P141))</f>
        <v>0</v>
      </c>
      <c r="R141" s="27">
        <f>IF(C141="","",COUNTIFS(tblPresences[Étudiant],C141,tblPresences[Statut],"R"))</f>
        <v>0</v>
      </c>
      <c r="S141" s="123">
        <f>IF(C141="","",IFERROR((COUNTIFS(tblPresences[Étudiant],C141,tblPresences[Statut],"P")+COUNTIFS(tblPresences[Étudiant],C141,tblPresences[Statut],"R"))/COUNTIF(tblPresences[Étudiant],C141),""))</f>
        <v>0</v>
      </c>
      <c r="T141" s="27">
        <f>IF(C141="","",MAX(E141:P141))</f>
        <v>0</v>
      </c>
      <c r="U141" s="146">
        <f>IF(C141="","",IF(T141&gt;pSeuil,"⚠ ALERTE",""))</f>
        <v>0</v>
      </c>
    </row>
    <row r="142" spans="2:21">
      <c r="B142" s="147">
        <f>IF(C142="","",136)</f>
        <v>0</v>
      </c>
      <c r="C142" s="32">
        <f>IFERROR(INDEX(tblEtudiants[Nom et prénoms],136)&amp;"","")</f>
        <v>0</v>
      </c>
      <c r="D142" s="30">
        <f>IF(C142="","",INDEX(tblEtudiants[Groupe],136)&amp;"")</f>
        <v>0</v>
      </c>
      <c r="E142" s="30">
        <f>IF(OR($C142="",E$5=""),"",COUNTIFS(tblPresences[Étudiant],$C142,tblPresences[Code matière],E$5,tblPresences[Statut],"A"))</f>
        <v>0</v>
      </c>
      <c r="F142" s="30">
        <f>IF(OR($C142="",F$5=""),"",COUNTIFS(tblPresences[Étudiant],$C142,tblPresences[Code matière],F$5,tblPresences[Statut],"A"))</f>
        <v>0</v>
      </c>
      <c r="G142" s="30">
        <f>IF(OR($C142="",G$5=""),"",COUNTIFS(tblPresences[Étudiant],$C142,tblPresences[Code matière],G$5,tblPresences[Statut],"A"))</f>
        <v>0</v>
      </c>
      <c r="H142" s="30">
        <f>IF(OR($C142="",H$5=""),"",COUNTIFS(tblPresences[Étudiant],$C142,tblPresences[Code matière],H$5,tblPresences[Statut],"A"))</f>
        <v>0</v>
      </c>
      <c r="I142" s="30">
        <f>IF(OR($C142="",I$5=""),"",COUNTIFS(tblPresences[Étudiant],$C142,tblPresences[Code matière],I$5,tblPresences[Statut],"A"))</f>
        <v>0</v>
      </c>
      <c r="J142" s="30">
        <f>IF(OR($C142="",J$5=""),"",COUNTIFS(tblPresences[Étudiant],$C142,tblPresences[Code matière],J$5,tblPresences[Statut],"A"))</f>
        <v>0</v>
      </c>
      <c r="K142" s="30">
        <f>IF(OR($C142="",K$5=""),"",COUNTIFS(tblPresences[Étudiant],$C142,tblPresences[Code matière],K$5,tblPresences[Statut],"A"))</f>
        <v>0</v>
      </c>
      <c r="L142" s="30">
        <f>IF(OR($C142="",L$5=""),"",COUNTIFS(tblPresences[Étudiant],$C142,tblPresences[Code matière],L$5,tblPresences[Statut],"A"))</f>
        <v>0</v>
      </c>
      <c r="M142" s="30">
        <f>IF(OR($C142="",M$5=""),"",COUNTIFS(tblPresences[Étudiant],$C142,tblPresences[Code matière],M$5,tblPresences[Statut],"A"))</f>
        <v>0</v>
      </c>
      <c r="N142" s="30">
        <f>IF(OR($C142="",N$5=""),"",COUNTIFS(tblPresences[Étudiant],$C142,tblPresences[Code matière],N$5,tblPresences[Statut],"A"))</f>
        <v>0</v>
      </c>
      <c r="O142" s="30">
        <f>IF(OR($C142="",O$5=""),"",COUNTIFS(tblPresences[Étudiant],$C142,tblPresences[Code matière],O$5,tblPresences[Statut],"A"))</f>
        <v>0</v>
      </c>
      <c r="P142" s="30">
        <f>IF(OR($C142="",P$5=""),"",COUNTIFS(tblPresences[Étudiant],$C142,tblPresences[Code matière],P$5,tblPresences[Statut],"A"))</f>
        <v>0</v>
      </c>
      <c r="Q142" s="31">
        <f>IF(C142="","",SUM(E142:P142))</f>
        <v>0</v>
      </c>
      <c r="R142" s="30">
        <f>IF(C142="","",COUNTIFS(tblPresences[Étudiant],C142,tblPresences[Statut],"R"))</f>
        <v>0</v>
      </c>
      <c r="S142" s="124">
        <f>IF(C142="","",IFERROR((COUNTIFS(tblPresences[Étudiant],C142,tblPresences[Statut],"P")+COUNTIFS(tblPresences[Étudiant],C142,tblPresences[Statut],"R"))/COUNTIF(tblPresences[Étudiant],C142),""))</f>
        <v>0</v>
      </c>
      <c r="T142" s="30">
        <f>IF(C142="","",MAX(E142:P142))</f>
        <v>0</v>
      </c>
      <c r="U142" s="148">
        <f>IF(C142="","",IF(T142&gt;pSeuil,"⚠ ALERTE",""))</f>
        <v>0</v>
      </c>
    </row>
    <row r="143" spans="2:21">
      <c r="B143" s="145">
        <f>IF(C143="","",137)</f>
        <v>0</v>
      </c>
      <c r="C143" s="29">
        <f>IFERROR(INDEX(tblEtudiants[Nom et prénoms],137)&amp;"","")</f>
        <v>0</v>
      </c>
      <c r="D143" s="27">
        <f>IF(C143="","",INDEX(tblEtudiants[Groupe],137)&amp;"")</f>
        <v>0</v>
      </c>
      <c r="E143" s="27">
        <f>IF(OR($C143="",E$5=""),"",COUNTIFS(tblPresences[Étudiant],$C143,tblPresences[Code matière],E$5,tblPresences[Statut],"A"))</f>
        <v>0</v>
      </c>
      <c r="F143" s="27">
        <f>IF(OR($C143="",F$5=""),"",COUNTIFS(tblPresences[Étudiant],$C143,tblPresences[Code matière],F$5,tblPresences[Statut],"A"))</f>
        <v>0</v>
      </c>
      <c r="G143" s="27">
        <f>IF(OR($C143="",G$5=""),"",COUNTIFS(tblPresences[Étudiant],$C143,tblPresences[Code matière],G$5,tblPresences[Statut],"A"))</f>
        <v>0</v>
      </c>
      <c r="H143" s="27">
        <f>IF(OR($C143="",H$5=""),"",COUNTIFS(tblPresences[Étudiant],$C143,tblPresences[Code matière],H$5,tblPresences[Statut],"A"))</f>
        <v>0</v>
      </c>
      <c r="I143" s="27">
        <f>IF(OR($C143="",I$5=""),"",COUNTIFS(tblPresences[Étudiant],$C143,tblPresences[Code matière],I$5,tblPresences[Statut],"A"))</f>
        <v>0</v>
      </c>
      <c r="J143" s="27">
        <f>IF(OR($C143="",J$5=""),"",COUNTIFS(tblPresences[Étudiant],$C143,tblPresences[Code matière],J$5,tblPresences[Statut],"A"))</f>
        <v>0</v>
      </c>
      <c r="K143" s="27">
        <f>IF(OR($C143="",K$5=""),"",COUNTIFS(tblPresences[Étudiant],$C143,tblPresences[Code matière],K$5,tblPresences[Statut],"A"))</f>
        <v>0</v>
      </c>
      <c r="L143" s="27">
        <f>IF(OR($C143="",L$5=""),"",COUNTIFS(tblPresences[Étudiant],$C143,tblPresences[Code matière],L$5,tblPresences[Statut],"A"))</f>
        <v>0</v>
      </c>
      <c r="M143" s="27">
        <f>IF(OR($C143="",M$5=""),"",COUNTIFS(tblPresences[Étudiant],$C143,tblPresences[Code matière],M$5,tblPresences[Statut],"A"))</f>
        <v>0</v>
      </c>
      <c r="N143" s="27">
        <f>IF(OR($C143="",N$5=""),"",COUNTIFS(tblPresences[Étudiant],$C143,tblPresences[Code matière],N$5,tblPresences[Statut],"A"))</f>
        <v>0</v>
      </c>
      <c r="O143" s="27">
        <f>IF(OR($C143="",O$5=""),"",COUNTIFS(tblPresences[Étudiant],$C143,tblPresences[Code matière],O$5,tblPresences[Statut],"A"))</f>
        <v>0</v>
      </c>
      <c r="P143" s="27">
        <f>IF(OR($C143="",P$5=""),"",COUNTIFS(tblPresences[Étudiant],$C143,tblPresences[Code matière],P$5,tblPresences[Statut],"A"))</f>
        <v>0</v>
      </c>
      <c r="Q143" s="28">
        <f>IF(C143="","",SUM(E143:P143))</f>
        <v>0</v>
      </c>
      <c r="R143" s="27">
        <f>IF(C143="","",COUNTIFS(tblPresences[Étudiant],C143,tblPresences[Statut],"R"))</f>
        <v>0</v>
      </c>
      <c r="S143" s="123">
        <f>IF(C143="","",IFERROR((COUNTIFS(tblPresences[Étudiant],C143,tblPresences[Statut],"P")+COUNTIFS(tblPresences[Étudiant],C143,tblPresences[Statut],"R"))/COUNTIF(tblPresences[Étudiant],C143),""))</f>
        <v>0</v>
      </c>
      <c r="T143" s="27">
        <f>IF(C143="","",MAX(E143:P143))</f>
        <v>0</v>
      </c>
      <c r="U143" s="146">
        <f>IF(C143="","",IF(T143&gt;pSeuil,"⚠ ALERTE",""))</f>
        <v>0</v>
      </c>
    </row>
    <row r="144" spans="2:21">
      <c r="B144" s="147">
        <f>IF(C144="","",138)</f>
        <v>0</v>
      </c>
      <c r="C144" s="32">
        <f>IFERROR(INDEX(tblEtudiants[Nom et prénoms],138)&amp;"","")</f>
        <v>0</v>
      </c>
      <c r="D144" s="30">
        <f>IF(C144="","",INDEX(tblEtudiants[Groupe],138)&amp;"")</f>
        <v>0</v>
      </c>
      <c r="E144" s="30">
        <f>IF(OR($C144="",E$5=""),"",COUNTIFS(tblPresences[Étudiant],$C144,tblPresences[Code matière],E$5,tblPresences[Statut],"A"))</f>
        <v>0</v>
      </c>
      <c r="F144" s="30">
        <f>IF(OR($C144="",F$5=""),"",COUNTIFS(tblPresences[Étudiant],$C144,tblPresences[Code matière],F$5,tblPresences[Statut],"A"))</f>
        <v>0</v>
      </c>
      <c r="G144" s="30">
        <f>IF(OR($C144="",G$5=""),"",COUNTIFS(tblPresences[Étudiant],$C144,tblPresences[Code matière],G$5,tblPresences[Statut],"A"))</f>
        <v>0</v>
      </c>
      <c r="H144" s="30">
        <f>IF(OR($C144="",H$5=""),"",COUNTIFS(tblPresences[Étudiant],$C144,tblPresences[Code matière],H$5,tblPresences[Statut],"A"))</f>
        <v>0</v>
      </c>
      <c r="I144" s="30">
        <f>IF(OR($C144="",I$5=""),"",COUNTIFS(tblPresences[Étudiant],$C144,tblPresences[Code matière],I$5,tblPresences[Statut],"A"))</f>
        <v>0</v>
      </c>
      <c r="J144" s="30">
        <f>IF(OR($C144="",J$5=""),"",COUNTIFS(tblPresences[Étudiant],$C144,tblPresences[Code matière],J$5,tblPresences[Statut],"A"))</f>
        <v>0</v>
      </c>
      <c r="K144" s="30">
        <f>IF(OR($C144="",K$5=""),"",COUNTIFS(tblPresences[Étudiant],$C144,tblPresences[Code matière],K$5,tblPresences[Statut],"A"))</f>
        <v>0</v>
      </c>
      <c r="L144" s="30">
        <f>IF(OR($C144="",L$5=""),"",COUNTIFS(tblPresences[Étudiant],$C144,tblPresences[Code matière],L$5,tblPresences[Statut],"A"))</f>
        <v>0</v>
      </c>
      <c r="M144" s="30">
        <f>IF(OR($C144="",M$5=""),"",COUNTIFS(tblPresences[Étudiant],$C144,tblPresences[Code matière],M$5,tblPresences[Statut],"A"))</f>
        <v>0</v>
      </c>
      <c r="N144" s="30">
        <f>IF(OR($C144="",N$5=""),"",COUNTIFS(tblPresences[Étudiant],$C144,tblPresences[Code matière],N$5,tblPresences[Statut],"A"))</f>
        <v>0</v>
      </c>
      <c r="O144" s="30">
        <f>IF(OR($C144="",O$5=""),"",COUNTIFS(tblPresences[Étudiant],$C144,tblPresences[Code matière],O$5,tblPresences[Statut],"A"))</f>
        <v>0</v>
      </c>
      <c r="P144" s="30">
        <f>IF(OR($C144="",P$5=""),"",COUNTIFS(tblPresences[Étudiant],$C144,tblPresences[Code matière],P$5,tblPresences[Statut],"A"))</f>
        <v>0</v>
      </c>
      <c r="Q144" s="31">
        <f>IF(C144="","",SUM(E144:P144))</f>
        <v>0</v>
      </c>
      <c r="R144" s="30">
        <f>IF(C144="","",COUNTIFS(tblPresences[Étudiant],C144,tblPresences[Statut],"R"))</f>
        <v>0</v>
      </c>
      <c r="S144" s="124">
        <f>IF(C144="","",IFERROR((COUNTIFS(tblPresences[Étudiant],C144,tblPresences[Statut],"P")+COUNTIFS(tblPresences[Étudiant],C144,tblPresences[Statut],"R"))/COUNTIF(tblPresences[Étudiant],C144),""))</f>
        <v>0</v>
      </c>
      <c r="T144" s="30">
        <f>IF(C144="","",MAX(E144:P144))</f>
        <v>0</v>
      </c>
      <c r="U144" s="148">
        <f>IF(C144="","",IF(T144&gt;pSeuil,"⚠ ALERTE",""))</f>
        <v>0</v>
      </c>
    </row>
    <row r="145" spans="2:21">
      <c r="B145" s="145">
        <f>IF(C145="","",139)</f>
        <v>0</v>
      </c>
      <c r="C145" s="29">
        <f>IFERROR(INDEX(tblEtudiants[Nom et prénoms],139)&amp;"","")</f>
        <v>0</v>
      </c>
      <c r="D145" s="27">
        <f>IF(C145="","",INDEX(tblEtudiants[Groupe],139)&amp;"")</f>
        <v>0</v>
      </c>
      <c r="E145" s="27">
        <f>IF(OR($C145="",E$5=""),"",COUNTIFS(tblPresences[Étudiant],$C145,tblPresences[Code matière],E$5,tblPresences[Statut],"A"))</f>
        <v>0</v>
      </c>
      <c r="F145" s="27">
        <f>IF(OR($C145="",F$5=""),"",COUNTIFS(tblPresences[Étudiant],$C145,tblPresences[Code matière],F$5,tblPresences[Statut],"A"))</f>
        <v>0</v>
      </c>
      <c r="G145" s="27">
        <f>IF(OR($C145="",G$5=""),"",COUNTIFS(tblPresences[Étudiant],$C145,tblPresences[Code matière],G$5,tblPresences[Statut],"A"))</f>
        <v>0</v>
      </c>
      <c r="H145" s="27">
        <f>IF(OR($C145="",H$5=""),"",COUNTIFS(tblPresences[Étudiant],$C145,tblPresences[Code matière],H$5,tblPresences[Statut],"A"))</f>
        <v>0</v>
      </c>
      <c r="I145" s="27">
        <f>IF(OR($C145="",I$5=""),"",COUNTIFS(tblPresences[Étudiant],$C145,tblPresences[Code matière],I$5,tblPresences[Statut],"A"))</f>
        <v>0</v>
      </c>
      <c r="J145" s="27">
        <f>IF(OR($C145="",J$5=""),"",COUNTIFS(tblPresences[Étudiant],$C145,tblPresences[Code matière],J$5,tblPresences[Statut],"A"))</f>
        <v>0</v>
      </c>
      <c r="K145" s="27">
        <f>IF(OR($C145="",K$5=""),"",COUNTIFS(tblPresences[Étudiant],$C145,tblPresences[Code matière],K$5,tblPresences[Statut],"A"))</f>
        <v>0</v>
      </c>
      <c r="L145" s="27">
        <f>IF(OR($C145="",L$5=""),"",COUNTIFS(tblPresences[Étudiant],$C145,tblPresences[Code matière],L$5,tblPresences[Statut],"A"))</f>
        <v>0</v>
      </c>
      <c r="M145" s="27">
        <f>IF(OR($C145="",M$5=""),"",COUNTIFS(tblPresences[Étudiant],$C145,tblPresences[Code matière],M$5,tblPresences[Statut],"A"))</f>
        <v>0</v>
      </c>
      <c r="N145" s="27">
        <f>IF(OR($C145="",N$5=""),"",COUNTIFS(tblPresences[Étudiant],$C145,tblPresences[Code matière],N$5,tblPresences[Statut],"A"))</f>
        <v>0</v>
      </c>
      <c r="O145" s="27">
        <f>IF(OR($C145="",O$5=""),"",COUNTIFS(tblPresences[Étudiant],$C145,tblPresences[Code matière],O$5,tblPresences[Statut],"A"))</f>
        <v>0</v>
      </c>
      <c r="P145" s="27">
        <f>IF(OR($C145="",P$5=""),"",COUNTIFS(tblPresences[Étudiant],$C145,tblPresences[Code matière],P$5,tblPresences[Statut],"A"))</f>
        <v>0</v>
      </c>
      <c r="Q145" s="28">
        <f>IF(C145="","",SUM(E145:P145))</f>
        <v>0</v>
      </c>
      <c r="R145" s="27">
        <f>IF(C145="","",COUNTIFS(tblPresences[Étudiant],C145,tblPresences[Statut],"R"))</f>
        <v>0</v>
      </c>
      <c r="S145" s="123">
        <f>IF(C145="","",IFERROR((COUNTIFS(tblPresences[Étudiant],C145,tblPresences[Statut],"P")+COUNTIFS(tblPresences[Étudiant],C145,tblPresences[Statut],"R"))/COUNTIF(tblPresences[Étudiant],C145),""))</f>
        <v>0</v>
      </c>
      <c r="T145" s="27">
        <f>IF(C145="","",MAX(E145:P145))</f>
        <v>0</v>
      </c>
      <c r="U145" s="146">
        <f>IF(C145="","",IF(T145&gt;pSeuil,"⚠ ALERTE",""))</f>
        <v>0</v>
      </c>
    </row>
    <row r="146" spans="2:21">
      <c r="B146" s="147">
        <f>IF(C146="","",140)</f>
        <v>0</v>
      </c>
      <c r="C146" s="32">
        <f>IFERROR(INDEX(tblEtudiants[Nom et prénoms],140)&amp;"","")</f>
        <v>0</v>
      </c>
      <c r="D146" s="30">
        <f>IF(C146="","",INDEX(tblEtudiants[Groupe],140)&amp;"")</f>
        <v>0</v>
      </c>
      <c r="E146" s="30">
        <f>IF(OR($C146="",E$5=""),"",COUNTIFS(tblPresences[Étudiant],$C146,tblPresences[Code matière],E$5,tblPresences[Statut],"A"))</f>
        <v>0</v>
      </c>
      <c r="F146" s="30">
        <f>IF(OR($C146="",F$5=""),"",COUNTIFS(tblPresences[Étudiant],$C146,tblPresences[Code matière],F$5,tblPresences[Statut],"A"))</f>
        <v>0</v>
      </c>
      <c r="G146" s="30">
        <f>IF(OR($C146="",G$5=""),"",COUNTIFS(tblPresences[Étudiant],$C146,tblPresences[Code matière],G$5,tblPresences[Statut],"A"))</f>
        <v>0</v>
      </c>
      <c r="H146" s="30">
        <f>IF(OR($C146="",H$5=""),"",COUNTIFS(tblPresences[Étudiant],$C146,tblPresences[Code matière],H$5,tblPresences[Statut],"A"))</f>
        <v>0</v>
      </c>
      <c r="I146" s="30">
        <f>IF(OR($C146="",I$5=""),"",COUNTIFS(tblPresences[Étudiant],$C146,tblPresences[Code matière],I$5,tblPresences[Statut],"A"))</f>
        <v>0</v>
      </c>
      <c r="J146" s="30">
        <f>IF(OR($C146="",J$5=""),"",COUNTIFS(tblPresences[Étudiant],$C146,tblPresences[Code matière],J$5,tblPresences[Statut],"A"))</f>
        <v>0</v>
      </c>
      <c r="K146" s="30">
        <f>IF(OR($C146="",K$5=""),"",COUNTIFS(tblPresences[Étudiant],$C146,tblPresences[Code matière],K$5,tblPresences[Statut],"A"))</f>
        <v>0</v>
      </c>
      <c r="L146" s="30">
        <f>IF(OR($C146="",L$5=""),"",COUNTIFS(tblPresences[Étudiant],$C146,tblPresences[Code matière],L$5,tblPresences[Statut],"A"))</f>
        <v>0</v>
      </c>
      <c r="M146" s="30">
        <f>IF(OR($C146="",M$5=""),"",COUNTIFS(tblPresences[Étudiant],$C146,tblPresences[Code matière],M$5,tblPresences[Statut],"A"))</f>
        <v>0</v>
      </c>
      <c r="N146" s="30">
        <f>IF(OR($C146="",N$5=""),"",COUNTIFS(tblPresences[Étudiant],$C146,tblPresences[Code matière],N$5,tblPresences[Statut],"A"))</f>
        <v>0</v>
      </c>
      <c r="O146" s="30">
        <f>IF(OR($C146="",O$5=""),"",COUNTIFS(tblPresences[Étudiant],$C146,tblPresences[Code matière],O$5,tblPresences[Statut],"A"))</f>
        <v>0</v>
      </c>
      <c r="P146" s="30">
        <f>IF(OR($C146="",P$5=""),"",COUNTIFS(tblPresences[Étudiant],$C146,tblPresences[Code matière],P$5,tblPresences[Statut],"A"))</f>
        <v>0</v>
      </c>
      <c r="Q146" s="31">
        <f>IF(C146="","",SUM(E146:P146))</f>
        <v>0</v>
      </c>
      <c r="R146" s="30">
        <f>IF(C146="","",COUNTIFS(tblPresences[Étudiant],C146,tblPresences[Statut],"R"))</f>
        <v>0</v>
      </c>
      <c r="S146" s="124">
        <f>IF(C146="","",IFERROR((COUNTIFS(tblPresences[Étudiant],C146,tblPresences[Statut],"P")+COUNTIFS(tblPresences[Étudiant],C146,tblPresences[Statut],"R"))/COUNTIF(tblPresences[Étudiant],C146),""))</f>
        <v>0</v>
      </c>
      <c r="T146" s="30">
        <f>IF(C146="","",MAX(E146:P146))</f>
        <v>0</v>
      </c>
      <c r="U146" s="148">
        <f>IF(C146="","",IF(T146&gt;pSeuil,"⚠ ALERTE",""))</f>
        <v>0</v>
      </c>
    </row>
    <row r="147" spans="2:21">
      <c r="B147" s="145">
        <f>IF(C147="","",141)</f>
        <v>0</v>
      </c>
      <c r="C147" s="29">
        <f>IFERROR(INDEX(tblEtudiants[Nom et prénoms],141)&amp;"","")</f>
        <v>0</v>
      </c>
      <c r="D147" s="27">
        <f>IF(C147="","",INDEX(tblEtudiants[Groupe],141)&amp;"")</f>
        <v>0</v>
      </c>
      <c r="E147" s="27">
        <f>IF(OR($C147="",E$5=""),"",COUNTIFS(tblPresences[Étudiant],$C147,tblPresences[Code matière],E$5,tblPresences[Statut],"A"))</f>
        <v>0</v>
      </c>
      <c r="F147" s="27">
        <f>IF(OR($C147="",F$5=""),"",COUNTIFS(tblPresences[Étudiant],$C147,tblPresences[Code matière],F$5,tblPresences[Statut],"A"))</f>
        <v>0</v>
      </c>
      <c r="G147" s="27">
        <f>IF(OR($C147="",G$5=""),"",COUNTIFS(tblPresences[Étudiant],$C147,tblPresences[Code matière],G$5,tblPresences[Statut],"A"))</f>
        <v>0</v>
      </c>
      <c r="H147" s="27">
        <f>IF(OR($C147="",H$5=""),"",COUNTIFS(tblPresences[Étudiant],$C147,tblPresences[Code matière],H$5,tblPresences[Statut],"A"))</f>
        <v>0</v>
      </c>
      <c r="I147" s="27">
        <f>IF(OR($C147="",I$5=""),"",COUNTIFS(tblPresences[Étudiant],$C147,tblPresences[Code matière],I$5,tblPresences[Statut],"A"))</f>
        <v>0</v>
      </c>
      <c r="J147" s="27">
        <f>IF(OR($C147="",J$5=""),"",COUNTIFS(tblPresences[Étudiant],$C147,tblPresences[Code matière],J$5,tblPresences[Statut],"A"))</f>
        <v>0</v>
      </c>
      <c r="K147" s="27">
        <f>IF(OR($C147="",K$5=""),"",COUNTIFS(tblPresences[Étudiant],$C147,tblPresences[Code matière],K$5,tblPresences[Statut],"A"))</f>
        <v>0</v>
      </c>
      <c r="L147" s="27">
        <f>IF(OR($C147="",L$5=""),"",COUNTIFS(tblPresences[Étudiant],$C147,tblPresences[Code matière],L$5,tblPresences[Statut],"A"))</f>
        <v>0</v>
      </c>
      <c r="M147" s="27">
        <f>IF(OR($C147="",M$5=""),"",COUNTIFS(tblPresences[Étudiant],$C147,tblPresences[Code matière],M$5,tblPresences[Statut],"A"))</f>
        <v>0</v>
      </c>
      <c r="N147" s="27">
        <f>IF(OR($C147="",N$5=""),"",COUNTIFS(tblPresences[Étudiant],$C147,tblPresences[Code matière],N$5,tblPresences[Statut],"A"))</f>
        <v>0</v>
      </c>
      <c r="O147" s="27">
        <f>IF(OR($C147="",O$5=""),"",COUNTIFS(tblPresences[Étudiant],$C147,tblPresences[Code matière],O$5,tblPresences[Statut],"A"))</f>
        <v>0</v>
      </c>
      <c r="P147" s="27">
        <f>IF(OR($C147="",P$5=""),"",COUNTIFS(tblPresences[Étudiant],$C147,tblPresences[Code matière],P$5,tblPresences[Statut],"A"))</f>
        <v>0</v>
      </c>
      <c r="Q147" s="28">
        <f>IF(C147="","",SUM(E147:P147))</f>
        <v>0</v>
      </c>
      <c r="R147" s="27">
        <f>IF(C147="","",COUNTIFS(tblPresences[Étudiant],C147,tblPresences[Statut],"R"))</f>
        <v>0</v>
      </c>
      <c r="S147" s="123">
        <f>IF(C147="","",IFERROR((COUNTIFS(tblPresences[Étudiant],C147,tblPresences[Statut],"P")+COUNTIFS(tblPresences[Étudiant],C147,tblPresences[Statut],"R"))/COUNTIF(tblPresences[Étudiant],C147),""))</f>
        <v>0</v>
      </c>
      <c r="T147" s="27">
        <f>IF(C147="","",MAX(E147:P147))</f>
        <v>0</v>
      </c>
      <c r="U147" s="146">
        <f>IF(C147="","",IF(T147&gt;pSeuil,"⚠ ALERTE",""))</f>
        <v>0</v>
      </c>
    </row>
    <row r="148" spans="2:21">
      <c r="B148" s="147">
        <f>IF(C148="","",142)</f>
        <v>0</v>
      </c>
      <c r="C148" s="32">
        <f>IFERROR(INDEX(tblEtudiants[Nom et prénoms],142)&amp;"","")</f>
        <v>0</v>
      </c>
      <c r="D148" s="30">
        <f>IF(C148="","",INDEX(tblEtudiants[Groupe],142)&amp;"")</f>
        <v>0</v>
      </c>
      <c r="E148" s="30">
        <f>IF(OR($C148="",E$5=""),"",COUNTIFS(tblPresences[Étudiant],$C148,tblPresences[Code matière],E$5,tblPresences[Statut],"A"))</f>
        <v>0</v>
      </c>
      <c r="F148" s="30">
        <f>IF(OR($C148="",F$5=""),"",COUNTIFS(tblPresences[Étudiant],$C148,tblPresences[Code matière],F$5,tblPresences[Statut],"A"))</f>
        <v>0</v>
      </c>
      <c r="G148" s="30">
        <f>IF(OR($C148="",G$5=""),"",COUNTIFS(tblPresences[Étudiant],$C148,tblPresences[Code matière],G$5,tblPresences[Statut],"A"))</f>
        <v>0</v>
      </c>
      <c r="H148" s="30">
        <f>IF(OR($C148="",H$5=""),"",COUNTIFS(tblPresences[Étudiant],$C148,tblPresences[Code matière],H$5,tblPresences[Statut],"A"))</f>
        <v>0</v>
      </c>
      <c r="I148" s="30">
        <f>IF(OR($C148="",I$5=""),"",COUNTIFS(tblPresences[Étudiant],$C148,tblPresences[Code matière],I$5,tblPresences[Statut],"A"))</f>
        <v>0</v>
      </c>
      <c r="J148" s="30">
        <f>IF(OR($C148="",J$5=""),"",COUNTIFS(tblPresences[Étudiant],$C148,tblPresences[Code matière],J$5,tblPresences[Statut],"A"))</f>
        <v>0</v>
      </c>
      <c r="K148" s="30">
        <f>IF(OR($C148="",K$5=""),"",COUNTIFS(tblPresences[Étudiant],$C148,tblPresences[Code matière],K$5,tblPresences[Statut],"A"))</f>
        <v>0</v>
      </c>
      <c r="L148" s="30">
        <f>IF(OR($C148="",L$5=""),"",COUNTIFS(tblPresences[Étudiant],$C148,tblPresences[Code matière],L$5,tblPresences[Statut],"A"))</f>
        <v>0</v>
      </c>
      <c r="M148" s="30">
        <f>IF(OR($C148="",M$5=""),"",COUNTIFS(tblPresences[Étudiant],$C148,tblPresences[Code matière],M$5,tblPresences[Statut],"A"))</f>
        <v>0</v>
      </c>
      <c r="N148" s="30">
        <f>IF(OR($C148="",N$5=""),"",COUNTIFS(tblPresences[Étudiant],$C148,tblPresences[Code matière],N$5,tblPresences[Statut],"A"))</f>
        <v>0</v>
      </c>
      <c r="O148" s="30">
        <f>IF(OR($C148="",O$5=""),"",COUNTIFS(tblPresences[Étudiant],$C148,tblPresences[Code matière],O$5,tblPresences[Statut],"A"))</f>
        <v>0</v>
      </c>
      <c r="P148" s="30">
        <f>IF(OR($C148="",P$5=""),"",COUNTIFS(tblPresences[Étudiant],$C148,tblPresences[Code matière],P$5,tblPresences[Statut],"A"))</f>
        <v>0</v>
      </c>
      <c r="Q148" s="31">
        <f>IF(C148="","",SUM(E148:P148))</f>
        <v>0</v>
      </c>
      <c r="R148" s="30">
        <f>IF(C148="","",COUNTIFS(tblPresences[Étudiant],C148,tblPresences[Statut],"R"))</f>
        <v>0</v>
      </c>
      <c r="S148" s="124">
        <f>IF(C148="","",IFERROR((COUNTIFS(tblPresences[Étudiant],C148,tblPresences[Statut],"P")+COUNTIFS(tblPresences[Étudiant],C148,tblPresences[Statut],"R"))/COUNTIF(tblPresences[Étudiant],C148),""))</f>
        <v>0</v>
      </c>
      <c r="T148" s="30">
        <f>IF(C148="","",MAX(E148:P148))</f>
        <v>0</v>
      </c>
      <c r="U148" s="148">
        <f>IF(C148="","",IF(T148&gt;pSeuil,"⚠ ALERTE",""))</f>
        <v>0</v>
      </c>
    </row>
    <row r="149" spans="2:21">
      <c r="B149" s="145">
        <f>IF(C149="","",143)</f>
        <v>0</v>
      </c>
      <c r="C149" s="29">
        <f>IFERROR(INDEX(tblEtudiants[Nom et prénoms],143)&amp;"","")</f>
        <v>0</v>
      </c>
      <c r="D149" s="27">
        <f>IF(C149="","",INDEX(tblEtudiants[Groupe],143)&amp;"")</f>
        <v>0</v>
      </c>
      <c r="E149" s="27">
        <f>IF(OR($C149="",E$5=""),"",COUNTIFS(tblPresences[Étudiant],$C149,tblPresences[Code matière],E$5,tblPresences[Statut],"A"))</f>
        <v>0</v>
      </c>
      <c r="F149" s="27">
        <f>IF(OR($C149="",F$5=""),"",COUNTIFS(tblPresences[Étudiant],$C149,tblPresences[Code matière],F$5,tblPresences[Statut],"A"))</f>
        <v>0</v>
      </c>
      <c r="G149" s="27">
        <f>IF(OR($C149="",G$5=""),"",COUNTIFS(tblPresences[Étudiant],$C149,tblPresences[Code matière],G$5,tblPresences[Statut],"A"))</f>
        <v>0</v>
      </c>
      <c r="H149" s="27">
        <f>IF(OR($C149="",H$5=""),"",COUNTIFS(tblPresences[Étudiant],$C149,tblPresences[Code matière],H$5,tblPresences[Statut],"A"))</f>
        <v>0</v>
      </c>
      <c r="I149" s="27">
        <f>IF(OR($C149="",I$5=""),"",COUNTIFS(tblPresences[Étudiant],$C149,tblPresences[Code matière],I$5,tblPresences[Statut],"A"))</f>
        <v>0</v>
      </c>
      <c r="J149" s="27">
        <f>IF(OR($C149="",J$5=""),"",COUNTIFS(tblPresences[Étudiant],$C149,tblPresences[Code matière],J$5,tblPresences[Statut],"A"))</f>
        <v>0</v>
      </c>
      <c r="K149" s="27">
        <f>IF(OR($C149="",K$5=""),"",COUNTIFS(tblPresences[Étudiant],$C149,tblPresences[Code matière],K$5,tblPresences[Statut],"A"))</f>
        <v>0</v>
      </c>
      <c r="L149" s="27">
        <f>IF(OR($C149="",L$5=""),"",COUNTIFS(tblPresences[Étudiant],$C149,tblPresences[Code matière],L$5,tblPresences[Statut],"A"))</f>
        <v>0</v>
      </c>
      <c r="M149" s="27">
        <f>IF(OR($C149="",M$5=""),"",COUNTIFS(tblPresences[Étudiant],$C149,tblPresences[Code matière],M$5,tblPresences[Statut],"A"))</f>
        <v>0</v>
      </c>
      <c r="N149" s="27">
        <f>IF(OR($C149="",N$5=""),"",COUNTIFS(tblPresences[Étudiant],$C149,tblPresences[Code matière],N$5,tblPresences[Statut],"A"))</f>
        <v>0</v>
      </c>
      <c r="O149" s="27">
        <f>IF(OR($C149="",O$5=""),"",COUNTIFS(tblPresences[Étudiant],$C149,tblPresences[Code matière],O$5,tblPresences[Statut],"A"))</f>
        <v>0</v>
      </c>
      <c r="P149" s="27">
        <f>IF(OR($C149="",P$5=""),"",COUNTIFS(tblPresences[Étudiant],$C149,tblPresences[Code matière],P$5,tblPresences[Statut],"A"))</f>
        <v>0</v>
      </c>
      <c r="Q149" s="28">
        <f>IF(C149="","",SUM(E149:P149))</f>
        <v>0</v>
      </c>
      <c r="R149" s="27">
        <f>IF(C149="","",COUNTIFS(tblPresences[Étudiant],C149,tblPresences[Statut],"R"))</f>
        <v>0</v>
      </c>
      <c r="S149" s="123">
        <f>IF(C149="","",IFERROR((COUNTIFS(tblPresences[Étudiant],C149,tblPresences[Statut],"P")+COUNTIFS(tblPresences[Étudiant],C149,tblPresences[Statut],"R"))/COUNTIF(tblPresences[Étudiant],C149),""))</f>
        <v>0</v>
      </c>
      <c r="T149" s="27">
        <f>IF(C149="","",MAX(E149:P149))</f>
        <v>0</v>
      </c>
      <c r="U149" s="146">
        <f>IF(C149="","",IF(T149&gt;pSeuil,"⚠ ALERTE",""))</f>
        <v>0</v>
      </c>
    </row>
    <row r="150" spans="2:21">
      <c r="B150" s="147">
        <f>IF(C150="","",144)</f>
        <v>0</v>
      </c>
      <c r="C150" s="32">
        <f>IFERROR(INDEX(tblEtudiants[Nom et prénoms],144)&amp;"","")</f>
        <v>0</v>
      </c>
      <c r="D150" s="30">
        <f>IF(C150="","",INDEX(tblEtudiants[Groupe],144)&amp;"")</f>
        <v>0</v>
      </c>
      <c r="E150" s="30">
        <f>IF(OR($C150="",E$5=""),"",COUNTIFS(tblPresences[Étudiant],$C150,tblPresences[Code matière],E$5,tblPresences[Statut],"A"))</f>
        <v>0</v>
      </c>
      <c r="F150" s="30">
        <f>IF(OR($C150="",F$5=""),"",COUNTIFS(tblPresences[Étudiant],$C150,tblPresences[Code matière],F$5,tblPresences[Statut],"A"))</f>
        <v>0</v>
      </c>
      <c r="G150" s="30">
        <f>IF(OR($C150="",G$5=""),"",COUNTIFS(tblPresences[Étudiant],$C150,tblPresences[Code matière],G$5,tblPresences[Statut],"A"))</f>
        <v>0</v>
      </c>
      <c r="H150" s="30">
        <f>IF(OR($C150="",H$5=""),"",COUNTIFS(tblPresences[Étudiant],$C150,tblPresences[Code matière],H$5,tblPresences[Statut],"A"))</f>
        <v>0</v>
      </c>
      <c r="I150" s="30">
        <f>IF(OR($C150="",I$5=""),"",COUNTIFS(tblPresences[Étudiant],$C150,tblPresences[Code matière],I$5,tblPresences[Statut],"A"))</f>
        <v>0</v>
      </c>
      <c r="J150" s="30">
        <f>IF(OR($C150="",J$5=""),"",COUNTIFS(tblPresences[Étudiant],$C150,tblPresences[Code matière],J$5,tblPresences[Statut],"A"))</f>
        <v>0</v>
      </c>
      <c r="K150" s="30">
        <f>IF(OR($C150="",K$5=""),"",COUNTIFS(tblPresences[Étudiant],$C150,tblPresences[Code matière],K$5,tblPresences[Statut],"A"))</f>
        <v>0</v>
      </c>
      <c r="L150" s="30">
        <f>IF(OR($C150="",L$5=""),"",COUNTIFS(tblPresences[Étudiant],$C150,tblPresences[Code matière],L$5,tblPresences[Statut],"A"))</f>
        <v>0</v>
      </c>
      <c r="M150" s="30">
        <f>IF(OR($C150="",M$5=""),"",COUNTIFS(tblPresences[Étudiant],$C150,tblPresences[Code matière],M$5,tblPresences[Statut],"A"))</f>
        <v>0</v>
      </c>
      <c r="N150" s="30">
        <f>IF(OR($C150="",N$5=""),"",COUNTIFS(tblPresences[Étudiant],$C150,tblPresences[Code matière],N$5,tblPresences[Statut],"A"))</f>
        <v>0</v>
      </c>
      <c r="O150" s="30">
        <f>IF(OR($C150="",O$5=""),"",COUNTIFS(tblPresences[Étudiant],$C150,tblPresences[Code matière],O$5,tblPresences[Statut],"A"))</f>
        <v>0</v>
      </c>
      <c r="P150" s="30">
        <f>IF(OR($C150="",P$5=""),"",COUNTIFS(tblPresences[Étudiant],$C150,tblPresences[Code matière],P$5,tblPresences[Statut],"A"))</f>
        <v>0</v>
      </c>
      <c r="Q150" s="31">
        <f>IF(C150="","",SUM(E150:P150))</f>
        <v>0</v>
      </c>
      <c r="R150" s="30">
        <f>IF(C150="","",COUNTIFS(tblPresences[Étudiant],C150,tblPresences[Statut],"R"))</f>
        <v>0</v>
      </c>
      <c r="S150" s="124">
        <f>IF(C150="","",IFERROR((COUNTIFS(tblPresences[Étudiant],C150,tblPresences[Statut],"P")+COUNTIFS(tblPresences[Étudiant],C150,tblPresences[Statut],"R"))/COUNTIF(tblPresences[Étudiant],C150),""))</f>
        <v>0</v>
      </c>
      <c r="T150" s="30">
        <f>IF(C150="","",MAX(E150:P150))</f>
        <v>0</v>
      </c>
      <c r="U150" s="148">
        <f>IF(C150="","",IF(T150&gt;pSeuil,"⚠ ALERTE",""))</f>
        <v>0</v>
      </c>
    </row>
    <row r="151" spans="2:21">
      <c r="B151" s="145">
        <f>IF(C151="","",145)</f>
        <v>0</v>
      </c>
      <c r="C151" s="29">
        <f>IFERROR(INDEX(tblEtudiants[Nom et prénoms],145)&amp;"","")</f>
        <v>0</v>
      </c>
      <c r="D151" s="27">
        <f>IF(C151="","",INDEX(tblEtudiants[Groupe],145)&amp;"")</f>
        <v>0</v>
      </c>
      <c r="E151" s="27">
        <f>IF(OR($C151="",E$5=""),"",COUNTIFS(tblPresences[Étudiant],$C151,tblPresences[Code matière],E$5,tblPresences[Statut],"A"))</f>
        <v>0</v>
      </c>
      <c r="F151" s="27">
        <f>IF(OR($C151="",F$5=""),"",COUNTIFS(tblPresences[Étudiant],$C151,tblPresences[Code matière],F$5,tblPresences[Statut],"A"))</f>
        <v>0</v>
      </c>
      <c r="G151" s="27">
        <f>IF(OR($C151="",G$5=""),"",COUNTIFS(tblPresences[Étudiant],$C151,tblPresences[Code matière],G$5,tblPresences[Statut],"A"))</f>
        <v>0</v>
      </c>
      <c r="H151" s="27">
        <f>IF(OR($C151="",H$5=""),"",COUNTIFS(tblPresences[Étudiant],$C151,tblPresences[Code matière],H$5,tblPresences[Statut],"A"))</f>
        <v>0</v>
      </c>
      <c r="I151" s="27">
        <f>IF(OR($C151="",I$5=""),"",COUNTIFS(tblPresences[Étudiant],$C151,tblPresences[Code matière],I$5,tblPresences[Statut],"A"))</f>
        <v>0</v>
      </c>
      <c r="J151" s="27">
        <f>IF(OR($C151="",J$5=""),"",COUNTIFS(tblPresences[Étudiant],$C151,tblPresences[Code matière],J$5,tblPresences[Statut],"A"))</f>
        <v>0</v>
      </c>
      <c r="K151" s="27">
        <f>IF(OR($C151="",K$5=""),"",COUNTIFS(tblPresences[Étudiant],$C151,tblPresences[Code matière],K$5,tblPresences[Statut],"A"))</f>
        <v>0</v>
      </c>
      <c r="L151" s="27">
        <f>IF(OR($C151="",L$5=""),"",COUNTIFS(tblPresences[Étudiant],$C151,tblPresences[Code matière],L$5,tblPresences[Statut],"A"))</f>
        <v>0</v>
      </c>
      <c r="M151" s="27">
        <f>IF(OR($C151="",M$5=""),"",COUNTIFS(tblPresences[Étudiant],$C151,tblPresences[Code matière],M$5,tblPresences[Statut],"A"))</f>
        <v>0</v>
      </c>
      <c r="N151" s="27">
        <f>IF(OR($C151="",N$5=""),"",COUNTIFS(tblPresences[Étudiant],$C151,tblPresences[Code matière],N$5,tblPresences[Statut],"A"))</f>
        <v>0</v>
      </c>
      <c r="O151" s="27">
        <f>IF(OR($C151="",O$5=""),"",COUNTIFS(tblPresences[Étudiant],$C151,tblPresences[Code matière],O$5,tblPresences[Statut],"A"))</f>
        <v>0</v>
      </c>
      <c r="P151" s="27">
        <f>IF(OR($C151="",P$5=""),"",COUNTIFS(tblPresences[Étudiant],$C151,tblPresences[Code matière],P$5,tblPresences[Statut],"A"))</f>
        <v>0</v>
      </c>
      <c r="Q151" s="28">
        <f>IF(C151="","",SUM(E151:P151))</f>
        <v>0</v>
      </c>
      <c r="R151" s="27">
        <f>IF(C151="","",COUNTIFS(tblPresences[Étudiant],C151,tblPresences[Statut],"R"))</f>
        <v>0</v>
      </c>
      <c r="S151" s="123">
        <f>IF(C151="","",IFERROR((COUNTIFS(tblPresences[Étudiant],C151,tblPresences[Statut],"P")+COUNTIFS(tblPresences[Étudiant],C151,tblPresences[Statut],"R"))/COUNTIF(tblPresences[Étudiant],C151),""))</f>
        <v>0</v>
      </c>
      <c r="T151" s="27">
        <f>IF(C151="","",MAX(E151:P151))</f>
        <v>0</v>
      </c>
      <c r="U151" s="146">
        <f>IF(C151="","",IF(T151&gt;pSeuil,"⚠ ALERTE",""))</f>
        <v>0</v>
      </c>
    </row>
    <row r="152" spans="2:21">
      <c r="B152" s="147">
        <f>IF(C152="","",146)</f>
        <v>0</v>
      </c>
      <c r="C152" s="32">
        <f>IFERROR(INDEX(tblEtudiants[Nom et prénoms],146)&amp;"","")</f>
        <v>0</v>
      </c>
      <c r="D152" s="30">
        <f>IF(C152="","",INDEX(tblEtudiants[Groupe],146)&amp;"")</f>
        <v>0</v>
      </c>
      <c r="E152" s="30">
        <f>IF(OR($C152="",E$5=""),"",COUNTIFS(tblPresences[Étudiant],$C152,tblPresences[Code matière],E$5,tblPresences[Statut],"A"))</f>
        <v>0</v>
      </c>
      <c r="F152" s="30">
        <f>IF(OR($C152="",F$5=""),"",COUNTIFS(tblPresences[Étudiant],$C152,tblPresences[Code matière],F$5,tblPresences[Statut],"A"))</f>
        <v>0</v>
      </c>
      <c r="G152" s="30">
        <f>IF(OR($C152="",G$5=""),"",COUNTIFS(tblPresences[Étudiant],$C152,tblPresences[Code matière],G$5,tblPresences[Statut],"A"))</f>
        <v>0</v>
      </c>
      <c r="H152" s="30">
        <f>IF(OR($C152="",H$5=""),"",COUNTIFS(tblPresences[Étudiant],$C152,tblPresences[Code matière],H$5,tblPresences[Statut],"A"))</f>
        <v>0</v>
      </c>
      <c r="I152" s="30">
        <f>IF(OR($C152="",I$5=""),"",COUNTIFS(tblPresences[Étudiant],$C152,tblPresences[Code matière],I$5,tblPresences[Statut],"A"))</f>
        <v>0</v>
      </c>
      <c r="J152" s="30">
        <f>IF(OR($C152="",J$5=""),"",COUNTIFS(tblPresences[Étudiant],$C152,tblPresences[Code matière],J$5,tblPresences[Statut],"A"))</f>
        <v>0</v>
      </c>
      <c r="K152" s="30">
        <f>IF(OR($C152="",K$5=""),"",COUNTIFS(tblPresences[Étudiant],$C152,tblPresences[Code matière],K$5,tblPresences[Statut],"A"))</f>
        <v>0</v>
      </c>
      <c r="L152" s="30">
        <f>IF(OR($C152="",L$5=""),"",COUNTIFS(tblPresences[Étudiant],$C152,tblPresences[Code matière],L$5,tblPresences[Statut],"A"))</f>
        <v>0</v>
      </c>
      <c r="M152" s="30">
        <f>IF(OR($C152="",M$5=""),"",COUNTIFS(tblPresences[Étudiant],$C152,tblPresences[Code matière],M$5,tblPresences[Statut],"A"))</f>
        <v>0</v>
      </c>
      <c r="N152" s="30">
        <f>IF(OR($C152="",N$5=""),"",COUNTIFS(tblPresences[Étudiant],$C152,tblPresences[Code matière],N$5,tblPresences[Statut],"A"))</f>
        <v>0</v>
      </c>
      <c r="O152" s="30">
        <f>IF(OR($C152="",O$5=""),"",COUNTIFS(tblPresences[Étudiant],$C152,tblPresences[Code matière],O$5,tblPresences[Statut],"A"))</f>
        <v>0</v>
      </c>
      <c r="P152" s="30">
        <f>IF(OR($C152="",P$5=""),"",COUNTIFS(tblPresences[Étudiant],$C152,tblPresences[Code matière],P$5,tblPresences[Statut],"A"))</f>
        <v>0</v>
      </c>
      <c r="Q152" s="31">
        <f>IF(C152="","",SUM(E152:P152))</f>
        <v>0</v>
      </c>
      <c r="R152" s="30">
        <f>IF(C152="","",COUNTIFS(tblPresences[Étudiant],C152,tblPresences[Statut],"R"))</f>
        <v>0</v>
      </c>
      <c r="S152" s="124">
        <f>IF(C152="","",IFERROR((COUNTIFS(tblPresences[Étudiant],C152,tblPresences[Statut],"P")+COUNTIFS(tblPresences[Étudiant],C152,tblPresences[Statut],"R"))/COUNTIF(tblPresences[Étudiant],C152),""))</f>
        <v>0</v>
      </c>
      <c r="T152" s="30">
        <f>IF(C152="","",MAX(E152:P152))</f>
        <v>0</v>
      </c>
      <c r="U152" s="148">
        <f>IF(C152="","",IF(T152&gt;pSeuil,"⚠ ALERTE",""))</f>
        <v>0</v>
      </c>
    </row>
    <row r="153" spans="2:21">
      <c r="B153" s="145">
        <f>IF(C153="","",147)</f>
        <v>0</v>
      </c>
      <c r="C153" s="29">
        <f>IFERROR(INDEX(tblEtudiants[Nom et prénoms],147)&amp;"","")</f>
        <v>0</v>
      </c>
      <c r="D153" s="27">
        <f>IF(C153="","",INDEX(tblEtudiants[Groupe],147)&amp;"")</f>
        <v>0</v>
      </c>
      <c r="E153" s="27">
        <f>IF(OR($C153="",E$5=""),"",COUNTIFS(tblPresences[Étudiant],$C153,tblPresences[Code matière],E$5,tblPresences[Statut],"A"))</f>
        <v>0</v>
      </c>
      <c r="F153" s="27">
        <f>IF(OR($C153="",F$5=""),"",COUNTIFS(tblPresences[Étudiant],$C153,tblPresences[Code matière],F$5,tblPresences[Statut],"A"))</f>
        <v>0</v>
      </c>
      <c r="G153" s="27">
        <f>IF(OR($C153="",G$5=""),"",COUNTIFS(tblPresences[Étudiant],$C153,tblPresences[Code matière],G$5,tblPresences[Statut],"A"))</f>
        <v>0</v>
      </c>
      <c r="H153" s="27">
        <f>IF(OR($C153="",H$5=""),"",COUNTIFS(tblPresences[Étudiant],$C153,tblPresences[Code matière],H$5,tblPresences[Statut],"A"))</f>
        <v>0</v>
      </c>
      <c r="I153" s="27">
        <f>IF(OR($C153="",I$5=""),"",COUNTIFS(tblPresences[Étudiant],$C153,tblPresences[Code matière],I$5,tblPresences[Statut],"A"))</f>
        <v>0</v>
      </c>
      <c r="J153" s="27">
        <f>IF(OR($C153="",J$5=""),"",COUNTIFS(tblPresences[Étudiant],$C153,tblPresences[Code matière],J$5,tblPresences[Statut],"A"))</f>
        <v>0</v>
      </c>
      <c r="K153" s="27">
        <f>IF(OR($C153="",K$5=""),"",COUNTIFS(tblPresences[Étudiant],$C153,tblPresences[Code matière],K$5,tblPresences[Statut],"A"))</f>
        <v>0</v>
      </c>
      <c r="L153" s="27">
        <f>IF(OR($C153="",L$5=""),"",COUNTIFS(tblPresences[Étudiant],$C153,tblPresences[Code matière],L$5,tblPresences[Statut],"A"))</f>
        <v>0</v>
      </c>
      <c r="M153" s="27">
        <f>IF(OR($C153="",M$5=""),"",COUNTIFS(tblPresences[Étudiant],$C153,tblPresences[Code matière],M$5,tblPresences[Statut],"A"))</f>
        <v>0</v>
      </c>
      <c r="N153" s="27">
        <f>IF(OR($C153="",N$5=""),"",COUNTIFS(tblPresences[Étudiant],$C153,tblPresences[Code matière],N$5,tblPresences[Statut],"A"))</f>
        <v>0</v>
      </c>
      <c r="O153" s="27">
        <f>IF(OR($C153="",O$5=""),"",COUNTIFS(tblPresences[Étudiant],$C153,tblPresences[Code matière],O$5,tblPresences[Statut],"A"))</f>
        <v>0</v>
      </c>
      <c r="P153" s="27">
        <f>IF(OR($C153="",P$5=""),"",COUNTIFS(tblPresences[Étudiant],$C153,tblPresences[Code matière],P$5,tblPresences[Statut],"A"))</f>
        <v>0</v>
      </c>
      <c r="Q153" s="28">
        <f>IF(C153="","",SUM(E153:P153))</f>
        <v>0</v>
      </c>
      <c r="R153" s="27">
        <f>IF(C153="","",COUNTIFS(tblPresences[Étudiant],C153,tblPresences[Statut],"R"))</f>
        <v>0</v>
      </c>
      <c r="S153" s="123">
        <f>IF(C153="","",IFERROR((COUNTIFS(tblPresences[Étudiant],C153,tblPresences[Statut],"P")+COUNTIFS(tblPresences[Étudiant],C153,tblPresences[Statut],"R"))/COUNTIF(tblPresences[Étudiant],C153),""))</f>
        <v>0</v>
      </c>
      <c r="T153" s="27">
        <f>IF(C153="","",MAX(E153:P153))</f>
        <v>0</v>
      </c>
      <c r="U153" s="146">
        <f>IF(C153="","",IF(T153&gt;pSeuil,"⚠ ALERTE",""))</f>
        <v>0</v>
      </c>
    </row>
    <row r="154" spans="2:21">
      <c r="B154" s="147">
        <f>IF(C154="","",148)</f>
        <v>0</v>
      </c>
      <c r="C154" s="32">
        <f>IFERROR(INDEX(tblEtudiants[Nom et prénoms],148)&amp;"","")</f>
        <v>0</v>
      </c>
      <c r="D154" s="30">
        <f>IF(C154="","",INDEX(tblEtudiants[Groupe],148)&amp;"")</f>
        <v>0</v>
      </c>
      <c r="E154" s="30">
        <f>IF(OR($C154="",E$5=""),"",COUNTIFS(tblPresences[Étudiant],$C154,tblPresences[Code matière],E$5,tblPresences[Statut],"A"))</f>
        <v>0</v>
      </c>
      <c r="F154" s="30">
        <f>IF(OR($C154="",F$5=""),"",COUNTIFS(tblPresences[Étudiant],$C154,tblPresences[Code matière],F$5,tblPresences[Statut],"A"))</f>
        <v>0</v>
      </c>
      <c r="G154" s="30">
        <f>IF(OR($C154="",G$5=""),"",COUNTIFS(tblPresences[Étudiant],$C154,tblPresences[Code matière],G$5,tblPresences[Statut],"A"))</f>
        <v>0</v>
      </c>
      <c r="H154" s="30">
        <f>IF(OR($C154="",H$5=""),"",COUNTIFS(tblPresences[Étudiant],$C154,tblPresences[Code matière],H$5,tblPresences[Statut],"A"))</f>
        <v>0</v>
      </c>
      <c r="I154" s="30">
        <f>IF(OR($C154="",I$5=""),"",COUNTIFS(tblPresences[Étudiant],$C154,tblPresences[Code matière],I$5,tblPresences[Statut],"A"))</f>
        <v>0</v>
      </c>
      <c r="J154" s="30">
        <f>IF(OR($C154="",J$5=""),"",COUNTIFS(tblPresences[Étudiant],$C154,tblPresences[Code matière],J$5,tblPresences[Statut],"A"))</f>
        <v>0</v>
      </c>
      <c r="K154" s="30">
        <f>IF(OR($C154="",K$5=""),"",COUNTIFS(tblPresences[Étudiant],$C154,tblPresences[Code matière],K$5,tblPresences[Statut],"A"))</f>
        <v>0</v>
      </c>
      <c r="L154" s="30">
        <f>IF(OR($C154="",L$5=""),"",COUNTIFS(tblPresences[Étudiant],$C154,tblPresences[Code matière],L$5,tblPresences[Statut],"A"))</f>
        <v>0</v>
      </c>
      <c r="M154" s="30">
        <f>IF(OR($C154="",M$5=""),"",COUNTIFS(tblPresences[Étudiant],$C154,tblPresences[Code matière],M$5,tblPresences[Statut],"A"))</f>
        <v>0</v>
      </c>
      <c r="N154" s="30">
        <f>IF(OR($C154="",N$5=""),"",COUNTIFS(tblPresences[Étudiant],$C154,tblPresences[Code matière],N$5,tblPresences[Statut],"A"))</f>
        <v>0</v>
      </c>
      <c r="O154" s="30">
        <f>IF(OR($C154="",O$5=""),"",COUNTIFS(tblPresences[Étudiant],$C154,tblPresences[Code matière],O$5,tblPresences[Statut],"A"))</f>
        <v>0</v>
      </c>
      <c r="P154" s="30">
        <f>IF(OR($C154="",P$5=""),"",COUNTIFS(tblPresences[Étudiant],$C154,tblPresences[Code matière],P$5,tblPresences[Statut],"A"))</f>
        <v>0</v>
      </c>
      <c r="Q154" s="31">
        <f>IF(C154="","",SUM(E154:P154))</f>
        <v>0</v>
      </c>
      <c r="R154" s="30">
        <f>IF(C154="","",COUNTIFS(tblPresences[Étudiant],C154,tblPresences[Statut],"R"))</f>
        <v>0</v>
      </c>
      <c r="S154" s="124">
        <f>IF(C154="","",IFERROR((COUNTIFS(tblPresences[Étudiant],C154,tblPresences[Statut],"P")+COUNTIFS(tblPresences[Étudiant],C154,tblPresences[Statut],"R"))/COUNTIF(tblPresences[Étudiant],C154),""))</f>
        <v>0</v>
      </c>
      <c r="T154" s="30">
        <f>IF(C154="","",MAX(E154:P154))</f>
        <v>0</v>
      </c>
      <c r="U154" s="148">
        <f>IF(C154="","",IF(T154&gt;pSeuil,"⚠ ALERTE",""))</f>
        <v>0</v>
      </c>
    </row>
    <row r="155" spans="2:21">
      <c r="B155" s="145">
        <f>IF(C155="","",149)</f>
        <v>0</v>
      </c>
      <c r="C155" s="29">
        <f>IFERROR(INDEX(tblEtudiants[Nom et prénoms],149)&amp;"","")</f>
        <v>0</v>
      </c>
      <c r="D155" s="27">
        <f>IF(C155="","",INDEX(tblEtudiants[Groupe],149)&amp;"")</f>
        <v>0</v>
      </c>
      <c r="E155" s="27">
        <f>IF(OR($C155="",E$5=""),"",COUNTIFS(tblPresences[Étudiant],$C155,tblPresences[Code matière],E$5,tblPresences[Statut],"A"))</f>
        <v>0</v>
      </c>
      <c r="F155" s="27">
        <f>IF(OR($C155="",F$5=""),"",COUNTIFS(tblPresences[Étudiant],$C155,tblPresences[Code matière],F$5,tblPresences[Statut],"A"))</f>
        <v>0</v>
      </c>
      <c r="G155" s="27">
        <f>IF(OR($C155="",G$5=""),"",COUNTIFS(tblPresences[Étudiant],$C155,tblPresences[Code matière],G$5,tblPresences[Statut],"A"))</f>
        <v>0</v>
      </c>
      <c r="H155" s="27">
        <f>IF(OR($C155="",H$5=""),"",COUNTIFS(tblPresences[Étudiant],$C155,tblPresences[Code matière],H$5,tblPresences[Statut],"A"))</f>
        <v>0</v>
      </c>
      <c r="I155" s="27">
        <f>IF(OR($C155="",I$5=""),"",COUNTIFS(tblPresences[Étudiant],$C155,tblPresences[Code matière],I$5,tblPresences[Statut],"A"))</f>
        <v>0</v>
      </c>
      <c r="J155" s="27">
        <f>IF(OR($C155="",J$5=""),"",COUNTIFS(tblPresences[Étudiant],$C155,tblPresences[Code matière],J$5,tblPresences[Statut],"A"))</f>
        <v>0</v>
      </c>
      <c r="K155" s="27">
        <f>IF(OR($C155="",K$5=""),"",COUNTIFS(tblPresences[Étudiant],$C155,tblPresences[Code matière],K$5,tblPresences[Statut],"A"))</f>
        <v>0</v>
      </c>
      <c r="L155" s="27">
        <f>IF(OR($C155="",L$5=""),"",COUNTIFS(tblPresences[Étudiant],$C155,tblPresences[Code matière],L$5,tblPresences[Statut],"A"))</f>
        <v>0</v>
      </c>
      <c r="M155" s="27">
        <f>IF(OR($C155="",M$5=""),"",COUNTIFS(tblPresences[Étudiant],$C155,tblPresences[Code matière],M$5,tblPresences[Statut],"A"))</f>
        <v>0</v>
      </c>
      <c r="N155" s="27">
        <f>IF(OR($C155="",N$5=""),"",COUNTIFS(tblPresences[Étudiant],$C155,tblPresences[Code matière],N$5,tblPresences[Statut],"A"))</f>
        <v>0</v>
      </c>
      <c r="O155" s="27">
        <f>IF(OR($C155="",O$5=""),"",COUNTIFS(tblPresences[Étudiant],$C155,tblPresences[Code matière],O$5,tblPresences[Statut],"A"))</f>
        <v>0</v>
      </c>
      <c r="P155" s="27">
        <f>IF(OR($C155="",P$5=""),"",COUNTIFS(tblPresences[Étudiant],$C155,tblPresences[Code matière],P$5,tblPresences[Statut],"A"))</f>
        <v>0</v>
      </c>
      <c r="Q155" s="28">
        <f>IF(C155="","",SUM(E155:P155))</f>
        <v>0</v>
      </c>
      <c r="R155" s="27">
        <f>IF(C155="","",COUNTIFS(tblPresences[Étudiant],C155,tblPresences[Statut],"R"))</f>
        <v>0</v>
      </c>
      <c r="S155" s="123">
        <f>IF(C155="","",IFERROR((COUNTIFS(tblPresences[Étudiant],C155,tblPresences[Statut],"P")+COUNTIFS(tblPresences[Étudiant],C155,tblPresences[Statut],"R"))/COUNTIF(tblPresences[Étudiant],C155),""))</f>
        <v>0</v>
      </c>
      <c r="T155" s="27">
        <f>IF(C155="","",MAX(E155:P155))</f>
        <v>0</v>
      </c>
      <c r="U155" s="146">
        <f>IF(C155="","",IF(T155&gt;pSeuil,"⚠ ALERTE",""))</f>
        <v>0</v>
      </c>
    </row>
    <row r="156" spans="2:21">
      <c r="B156" s="147">
        <f>IF(C156="","",150)</f>
        <v>0</v>
      </c>
      <c r="C156" s="32">
        <f>IFERROR(INDEX(tblEtudiants[Nom et prénoms],150)&amp;"","")</f>
        <v>0</v>
      </c>
      <c r="D156" s="30">
        <f>IF(C156="","",INDEX(tblEtudiants[Groupe],150)&amp;"")</f>
        <v>0</v>
      </c>
      <c r="E156" s="30">
        <f>IF(OR($C156="",E$5=""),"",COUNTIFS(tblPresences[Étudiant],$C156,tblPresences[Code matière],E$5,tblPresences[Statut],"A"))</f>
        <v>0</v>
      </c>
      <c r="F156" s="30">
        <f>IF(OR($C156="",F$5=""),"",COUNTIFS(tblPresences[Étudiant],$C156,tblPresences[Code matière],F$5,tblPresences[Statut],"A"))</f>
        <v>0</v>
      </c>
      <c r="G156" s="30">
        <f>IF(OR($C156="",G$5=""),"",COUNTIFS(tblPresences[Étudiant],$C156,tblPresences[Code matière],G$5,tblPresences[Statut],"A"))</f>
        <v>0</v>
      </c>
      <c r="H156" s="30">
        <f>IF(OR($C156="",H$5=""),"",COUNTIFS(tblPresences[Étudiant],$C156,tblPresences[Code matière],H$5,tblPresences[Statut],"A"))</f>
        <v>0</v>
      </c>
      <c r="I156" s="30">
        <f>IF(OR($C156="",I$5=""),"",COUNTIFS(tblPresences[Étudiant],$C156,tblPresences[Code matière],I$5,tblPresences[Statut],"A"))</f>
        <v>0</v>
      </c>
      <c r="J156" s="30">
        <f>IF(OR($C156="",J$5=""),"",COUNTIFS(tblPresences[Étudiant],$C156,tblPresences[Code matière],J$5,tblPresences[Statut],"A"))</f>
        <v>0</v>
      </c>
      <c r="K156" s="30">
        <f>IF(OR($C156="",K$5=""),"",COUNTIFS(tblPresences[Étudiant],$C156,tblPresences[Code matière],K$5,tblPresences[Statut],"A"))</f>
        <v>0</v>
      </c>
      <c r="L156" s="30">
        <f>IF(OR($C156="",L$5=""),"",COUNTIFS(tblPresences[Étudiant],$C156,tblPresences[Code matière],L$5,tblPresences[Statut],"A"))</f>
        <v>0</v>
      </c>
      <c r="M156" s="30">
        <f>IF(OR($C156="",M$5=""),"",COUNTIFS(tblPresences[Étudiant],$C156,tblPresences[Code matière],M$5,tblPresences[Statut],"A"))</f>
        <v>0</v>
      </c>
      <c r="N156" s="30">
        <f>IF(OR($C156="",N$5=""),"",COUNTIFS(tblPresences[Étudiant],$C156,tblPresences[Code matière],N$5,tblPresences[Statut],"A"))</f>
        <v>0</v>
      </c>
      <c r="O156" s="30">
        <f>IF(OR($C156="",O$5=""),"",COUNTIFS(tblPresences[Étudiant],$C156,tblPresences[Code matière],O$5,tblPresences[Statut],"A"))</f>
        <v>0</v>
      </c>
      <c r="P156" s="30">
        <f>IF(OR($C156="",P$5=""),"",COUNTIFS(tblPresences[Étudiant],$C156,tblPresences[Code matière],P$5,tblPresences[Statut],"A"))</f>
        <v>0</v>
      </c>
      <c r="Q156" s="31">
        <f>IF(C156="","",SUM(E156:P156))</f>
        <v>0</v>
      </c>
      <c r="R156" s="30">
        <f>IF(C156="","",COUNTIFS(tblPresences[Étudiant],C156,tblPresences[Statut],"R"))</f>
        <v>0</v>
      </c>
      <c r="S156" s="124">
        <f>IF(C156="","",IFERROR((COUNTIFS(tblPresences[Étudiant],C156,tblPresences[Statut],"P")+COUNTIFS(tblPresences[Étudiant],C156,tblPresences[Statut],"R"))/COUNTIF(tblPresences[Étudiant],C156),""))</f>
        <v>0</v>
      </c>
      <c r="T156" s="30">
        <f>IF(C156="","",MAX(E156:P156))</f>
        <v>0</v>
      </c>
      <c r="U156" s="148">
        <f>IF(C156="","",IF(T156&gt;pSeuil,"⚠ ALERTE",""))</f>
        <v>0</v>
      </c>
    </row>
    <row r="157" spans="2:21">
      <c r="B157" s="145">
        <f>IF(C157="","",151)</f>
        <v>0</v>
      </c>
      <c r="C157" s="29">
        <f>IFERROR(INDEX(tblEtudiants[Nom et prénoms],151)&amp;"","")</f>
        <v>0</v>
      </c>
      <c r="D157" s="27">
        <f>IF(C157="","",INDEX(tblEtudiants[Groupe],151)&amp;"")</f>
        <v>0</v>
      </c>
      <c r="E157" s="27">
        <f>IF(OR($C157="",E$5=""),"",COUNTIFS(tblPresences[Étudiant],$C157,tblPresences[Code matière],E$5,tblPresences[Statut],"A"))</f>
        <v>0</v>
      </c>
      <c r="F157" s="27">
        <f>IF(OR($C157="",F$5=""),"",COUNTIFS(tblPresences[Étudiant],$C157,tblPresences[Code matière],F$5,tblPresences[Statut],"A"))</f>
        <v>0</v>
      </c>
      <c r="G157" s="27">
        <f>IF(OR($C157="",G$5=""),"",COUNTIFS(tblPresences[Étudiant],$C157,tblPresences[Code matière],G$5,tblPresences[Statut],"A"))</f>
        <v>0</v>
      </c>
      <c r="H157" s="27">
        <f>IF(OR($C157="",H$5=""),"",COUNTIFS(tblPresences[Étudiant],$C157,tblPresences[Code matière],H$5,tblPresences[Statut],"A"))</f>
        <v>0</v>
      </c>
      <c r="I157" s="27">
        <f>IF(OR($C157="",I$5=""),"",COUNTIFS(tblPresences[Étudiant],$C157,tblPresences[Code matière],I$5,tblPresences[Statut],"A"))</f>
        <v>0</v>
      </c>
      <c r="J157" s="27">
        <f>IF(OR($C157="",J$5=""),"",COUNTIFS(tblPresences[Étudiant],$C157,tblPresences[Code matière],J$5,tblPresences[Statut],"A"))</f>
        <v>0</v>
      </c>
      <c r="K157" s="27">
        <f>IF(OR($C157="",K$5=""),"",COUNTIFS(tblPresences[Étudiant],$C157,tblPresences[Code matière],K$5,tblPresences[Statut],"A"))</f>
        <v>0</v>
      </c>
      <c r="L157" s="27">
        <f>IF(OR($C157="",L$5=""),"",COUNTIFS(tblPresences[Étudiant],$C157,tblPresences[Code matière],L$5,tblPresences[Statut],"A"))</f>
        <v>0</v>
      </c>
      <c r="M157" s="27">
        <f>IF(OR($C157="",M$5=""),"",COUNTIFS(tblPresences[Étudiant],$C157,tblPresences[Code matière],M$5,tblPresences[Statut],"A"))</f>
        <v>0</v>
      </c>
      <c r="N157" s="27">
        <f>IF(OR($C157="",N$5=""),"",COUNTIFS(tblPresences[Étudiant],$C157,tblPresences[Code matière],N$5,tblPresences[Statut],"A"))</f>
        <v>0</v>
      </c>
      <c r="O157" s="27">
        <f>IF(OR($C157="",O$5=""),"",COUNTIFS(tblPresences[Étudiant],$C157,tblPresences[Code matière],O$5,tblPresences[Statut],"A"))</f>
        <v>0</v>
      </c>
      <c r="P157" s="27">
        <f>IF(OR($C157="",P$5=""),"",COUNTIFS(tblPresences[Étudiant],$C157,tblPresences[Code matière],P$5,tblPresences[Statut],"A"))</f>
        <v>0</v>
      </c>
      <c r="Q157" s="28">
        <f>IF(C157="","",SUM(E157:P157))</f>
        <v>0</v>
      </c>
      <c r="R157" s="27">
        <f>IF(C157="","",COUNTIFS(tblPresences[Étudiant],C157,tblPresences[Statut],"R"))</f>
        <v>0</v>
      </c>
      <c r="S157" s="123">
        <f>IF(C157="","",IFERROR((COUNTIFS(tblPresences[Étudiant],C157,tblPresences[Statut],"P")+COUNTIFS(tblPresences[Étudiant],C157,tblPresences[Statut],"R"))/COUNTIF(tblPresences[Étudiant],C157),""))</f>
        <v>0</v>
      </c>
      <c r="T157" s="27">
        <f>IF(C157="","",MAX(E157:P157))</f>
        <v>0</v>
      </c>
      <c r="U157" s="146">
        <f>IF(C157="","",IF(T157&gt;pSeuil,"⚠ ALERTE",""))</f>
        <v>0</v>
      </c>
    </row>
    <row r="158" spans="2:21">
      <c r="B158" s="147">
        <f>IF(C158="","",152)</f>
        <v>0</v>
      </c>
      <c r="C158" s="32">
        <f>IFERROR(INDEX(tblEtudiants[Nom et prénoms],152)&amp;"","")</f>
        <v>0</v>
      </c>
      <c r="D158" s="30">
        <f>IF(C158="","",INDEX(tblEtudiants[Groupe],152)&amp;"")</f>
        <v>0</v>
      </c>
      <c r="E158" s="30">
        <f>IF(OR($C158="",E$5=""),"",COUNTIFS(tblPresences[Étudiant],$C158,tblPresences[Code matière],E$5,tblPresences[Statut],"A"))</f>
        <v>0</v>
      </c>
      <c r="F158" s="30">
        <f>IF(OR($C158="",F$5=""),"",COUNTIFS(tblPresences[Étudiant],$C158,tblPresences[Code matière],F$5,tblPresences[Statut],"A"))</f>
        <v>0</v>
      </c>
      <c r="G158" s="30">
        <f>IF(OR($C158="",G$5=""),"",COUNTIFS(tblPresences[Étudiant],$C158,tblPresences[Code matière],G$5,tblPresences[Statut],"A"))</f>
        <v>0</v>
      </c>
      <c r="H158" s="30">
        <f>IF(OR($C158="",H$5=""),"",COUNTIFS(tblPresences[Étudiant],$C158,tblPresences[Code matière],H$5,tblPresences[Statut],"A"))</f>
        <v>0</v>
      </c>
      <c r="I158" s="30">
        <f>IF(OR($C158="",I$5=""),"",COUNTIFS(tblPresences[Étudiant],$C158,tblPresences[Code matière],I$5,tblPresences[Statut],"A"))</f>
        <v>0</v>
      </c>
      <c r="J158" s="30">
        <f>IF(OR($C158="",J$5=""),"",COUNTIFS(tblPresences[Étudiant],$C158,tblPresences[Code matière],J$5,tblPresences[Statut],"A"))</f>
        <v>0</v>
      </c>
      <c r="K158" s="30">
        <f>IF(OR($C158="",K$5=""),"",COUNTIFS(tblPresences[Étudiant],$C158,tblPresences[Code matière],K$5,tblPresences[Statut],"A"))</f>
        <v>0</v>
      </c>
      <c r="L158" s="30">
        <f>IF(OR($C158="",L$5=""),"",COUNTIFS(tblPresences[Étudiant],$C158,tblPresences[Code matière],L$5,tblPresences[Statut],"A"))</f>
        <v>0</v>
      </c>
      <c r="M158" s="30">
        <f>IF(OR($C158="",M$5=""),"",COUNTIFS(tblPresences[Étudiant],$C158,tblPresences[Code matière],M$5,tblPresences[Statut],"A"))</f>
        <v>0</v>
      </c>
      <c r="N158" s="30">
        <f>IF(OR($C158="",N$5=""),"",COUNTIFS(tblPresences[Étudiant],$C158,tblPresences[Code matière],N$5,tblPresences[Statut],"A"))</f>
        <v>0</v>
      </c>
      <c r="O158" s="30">
        <f>IF(OR($C158="",O$5=""),"",COUNTIFS(tblPresences[Étudiant],$C158,tblPresences[Code matière],O$5,tblPresences[Statut],"A"))</f>
        <v>0</v>
      </c>
      <c r="P158" s="30">
        <f>IF(OR($C158="",P$5=""),"",COUNTIFS(tblPresences[Étudiant],$C158,tblPresences[Code matière],P$5,tblPresences[Statut],"A"))</f>
        <v>0</v>
      </c>
      <c r="Q158" s="31">
        <f>IF(C158="","",SUM(E158:P158))</f>
        <v>0</v>
      </c>
      <c r="R158" s="30">
        <f>IF(C158="","",COUNTIFS(tblPresences[Étudiant],C158,tblPresences[Statut],"R"))</f>
        <v>0</v>
      </c>
      <c r="S158" s="124">
        <f>IF(C158="","",IFERROR((COUNTIFS(tblPresences[Étudiant],C158,tblPresences[Statut],"P")+COUNTIFS(tblPresences[Étudiant],C158,tblPresences[Statut],"R"))/COUNTIF(tblPresences[Étudiant],C158),""))</f>
        <v>0</v>
      </c>
      <c r="T158" s="30">
        <f>IF(C158="","",MAX(E158:P158))</f>
        <v>0</v>
      </c>
      <c r="U158" s="148">
        <f>IF(C158="","",IF(T158&gt;pSeuil,"⚠ ALERTE",""))</f>
        <v>0</v>
      </c>
    </row>
    <row r="159" spans="2:21">
      <c r="B159" s="145">
        <f>IF(C159="","",153)</f>
        <v>0</v>
      </c>
      <c r="C159" s="29">
        <f>IFERROR(INDEX(tblEtudiants[Nom et prénoms],153)&amp;"","")</f>
        <v>0</v>
      </c>
      <c r="D159" s="27">
        <f>IF(C159="","",INDEX(tblEtudiants[Groupe],153)&amp;"")</f>
        <v>0</v>
      </c>
      <c r="E159" s="27">
        <f>IF(OR($C159="",E$5=""),"",COUNTIFS(tblPresences[Étudiant],$C159,tblPresences[Code matière],E$5,tblPresences[Statut],"A"))</f>
        <v>0</v>
      </c>
      <c r="F159" s="27">
        <f>IF(OR($C159="",F$5=""),"",COUNTIFS(tblPresences[Étudiant],$C159,tblPresences[Code matière],F$5,tblPresences[Statut],"A"))</f>
        <v>0</v>
      </c>
      <c r="G159" s="27">
        <f>IF(OR($C159="",G$5=""),"",COUNTIFS(tblPresences[Étudiant],$C159,tblPresences[Code matière],G$5,tblPresences[Statut],"A"))</f>
        <v>0</v>
      </c>
      <c r="H159" s="27">
        <f>IF(OR($C159="",H$5=""),"",COUNTIFS(tblPresences[Étudiant],$C159,tblPresences[Code matière],H$5,tblPresences[Statut],"A"))</f>
        <v>0</v>
      </c>
      <c r="I159" s="27">
        <f>IF(OR($C159="",I$5=""),"",COUNTIFS(tblPresences[Étudiant],$C159,tblPresences[Code matière],I$5,tblPresences[Statut],"A"))</f>
        <v>0</v>
      </c>
      <c r="J159" s="27">
        <f>IF(OR($C159="",J$5=""),"",COUNTIFS(tblPresences[Étudiant],$C159,tblPresences[Code matière],J$5,tblPresences[Statut],"A"))</f>
        <v>0</v>
      </c>
      <c r="K159" s="27">
        <f>IF(OR($C159="",K$5=""),"",COUNTIFS(tblPresences[Étudiant],$C159,tblPresences[Code matière],K$5,tblPresences[Statut],"A"))</f>
        <v>0</v>
      </c>
      <c r="L159" s="27">
        <f>IF(OR($C159="",L$5=""),"",COUNTIFS(tblPresences[Étudiant],$C159,tblPresences[Code matière],L$5,tblPresences[Statut],"A"))</f>
        <v>0</v>
      </c>
      <c r="M159" s="27">
        <f>IF(OR($C159="",M$5=""),"",COUNTIFS(tblPresences[Étudiant],$C159,tblPresences[Code matière],M$5,tblPresences[Statut],"A"))</f>
        <v>0</v>
      </c>
      <c r="N159" s="27">
        <f>IF(OR($C159="",N$5=""),"",COUNTIFS(tblPresences[Étudiant],$C159,tblPresences[Code matière],N$5,tblPresences[Statut],"A"))</f>
        <v>0</v>
      </c>
      <c r="O159" s="27">
        <f>IF(OR($C159="",O$5=""),"",COUNTIFS(tblPresences[Étudiant],$C159,tblPresences[Code matière],O$5,tblPresences[Statut],"A"))</f>
        <v>0</v>
      </c>
      <c r="P159" s="27">
        <f>IF(OR($C159="",P$5=""),"",COUNTIFS(tblPresences[Étudiant],$C159,tblPresences[Code matière],P$5,tblPresences[Statut],"A"))</f>
        <v>0</v>
      </c>
      <c r="Q159" s="28">
        <f>IF(C159="","",SUM(E159:P159))</f>
        <v>0</v>
      </c>
      <c r="R159" s="27">
        <f>IF(C159="","",COUNTIFS(tblPresences[Étudiant],C159,tblPresences[Statut],"R"))</f>
        <v>0</v>
      </c>
      <c r="S159" s="123">
        <f>IF(C159="","",IFERROR((COUNTIFS(tblPresences[Étudiant],C159,tblPresences[Statut],"P")+COUNTIFS(tblPresences[Étudiant],C159,tblPresences[Statut],"R"))/COUNTIF(tblPresences[Étudiant],C159),""))</f>
        <v>0</v>
      </c>
      <c r="T159" s="27">
        <f>IF(C159="","",MAX(E159:P159))</f>
        <v>0</v>
      </c>
      <c r="U159" s="146">
        <f>IF(C159="","",IF(T159&gt;pSeuil,"⚠ ALERTE",""))</f>
        <v>0</v>
      </c>
    </row>
    <row r="160" spans="2:21">
      <c r="B160" s="147">
        <f>IF(C160="","",154)</f>
        <v>0</v>
      </c>
      <c r="C160" s="32">
        <f>IFERROR(INDEX(tblEtudiants[Nom et prénoms],154)&amp;"","")</f>
        <v>0</v>
      </c>
      <c r="D160" s="30">
        <f>IF(C160="","",INDEX(tblEtudiants[Groupe],154)&amp;"")</f>
        <v>0</v>
      </c>
      <c r="E160" s="30">
        <f>IF(OR($C160="",E$5=""),"",COUNTIFS(tblPresences[Étudiant],$C160,tblPresences[Code matière],E$5,tblPresences[Statut],"A"))</f>
        <v>0</v>
      </c>
      <c r="F160" s="30">
        <f>IF(OR($C160="",F$5=""),"",COUNTIFS(tblPresences[Étudiant],$C160,tblPresences[Code matière],F$5,tblPresences[Statut],"A"))</f>
        <v>0</v>
      </c>
      <c r="G160" s="30">
        <f>IF(OR($C160="",G$5=""),"",COUNTIFS(tblPresences[Étudiant],$C160,tblPresences[Code matière],G$5,tblPresences[Statut],"A"))</f>
        <v>0</v>
      </c>
      <c r="H160" s="30">
        <f>IF(OR($C160="",H$5=""),"",COUNTIFS(tblPresences[Étudiant],$C160,tblPresences[Code matière],H$5,tblPresences[Statut],"A"))</f>
        <v>0</v>
      </c>
      <c r="I160" s="30">
        <f>IF(OR($C160="",I$5=""),"",COUNTIFS(tblPresences[Étudiant],$C160,tblPresences[Code matière],I$5,tblPresences[Statut],"A"))</f>
        <v>0</v>
      </c>
      <c r="J160" s="30">
        <f>IF(OR($C160="",J$5=""),"",COUNTIFS(tblPresences[Étudiant],$C160,tblPresences[Code matière],J$5,tblPresences[Statut],"A"))</f>
        <v>0</v>
      </c>
      <c r="K160" s="30">
        <f>IF(OR($C160="",K$5=""),"",COUNTIFS(tblPresences[Étudiant],$C160,tblPresences[Code matière],K$5,tblPresences[Statut],"A"))</f>
        <v>0</v>
      </c>
      <c r="L160" s="30">
        <f>IF(OR($C160="",L$5=""),"",COUNTIFS(tblPresences[Étudiant],$C160,tblPresences[Code matière],L$5,tblPresences[Statut],"A"))</f>
        <v>0</v>
      </c>
      <c r="M160" s="30">
        <f>IF(OR($C160="",M$5=""),"",COUNTIFS(tblPresences[Étudiant],$C160,tblPresences[Code matière],M$5,tblPresences[Statut],"A"))</f>
        <v>0</v>
      </c>
      <c r="N160" s="30">
        <f>IF(OR($C160="",N$5=""),"",COUNTIFS(tblPresences[Étudiant],$C160,tblPresences[Code matière],N$5,tblPresences[Statut],"A"))</f>
        <v>0</v>
      </c>
      <c r="O160" s="30">
        <f>IF(OR($C160="",O$5=""),"",COUNTIFS(tblPresences[Étudiant],$C160,tblPresences[Code matière],O$5,tblPresences[Statut],"A"))</f>
        <v>0</v>
      </c>
      <c r="P160" s="30">
        <f>IF(OR($C160="",P$5=""),"",COUNTIFS(tblPresences[Étudiant],$C160,tblPresences[Code matière],P$5,tblPresences[Statut],"A"))</f>
        <v>0</v>
      </c>
      <c r="Q160" s="31">
        <f>IF(C160="","",SUM(E160:P160))</f>
        <v>0</v>
      </c>
      <c r="R160" s="30">
        <f>IF(C160="","",COUNTIFS(tblPresences[Étudiant],C160,tblPresences[Statut],"R"))</f>
        <v>0</v>
      </c>
      <c r="S160" s="124">
        <f>IF(C160="","",IFERROR((COUNTIFS(tblPresences[Étudiant],C160,tblPresences[Statut],"P")+COUNTIFS(tblPresences[Étudiant],C160,tblPresences[Statut],"R"))/COUNTIF(tblPresences[Étudiant],C160),""))</f>
        <v>0</v>
      </c>
      <c r="T160" s="30">
        <f>IF(C160="","",MAX(E160:P160))</f>
        <v>0</v>
      </c>
      <c r="U160" s="148">
        <f>IF(C160="","",IF(T160&gt;pSeuil,"⚠ ALERTE",""))</f>
        <v>0</v>
      </c>
    </row>
    <row r="161" spans="2:21">
      <c r="B161" s="145">
        <f>IF(C161="","",155)</f>
        <v>0</v>
      </c>
      <c r="C161" s="29">
        <f>IFERROR(INDEX(tblEtudiants[Nom et prénoms],155)&amp;"","")</f>
        <v>0</v>
      </c>
      <c r="D161" s="27">
        <f>IF(C161="","",INDEX(tblEtudiants[Groupe],155)&amp;"")</f>
        <v>0</v>
      </c>
      <c r="E161" s="27">
        <f>IF(OR($C161="",E$5=""),"",COUNTIFS(tblPresences[Étudiant],$C161,tblPresences[Code matière],E$5,tblPresences[Statut],"A"))</f>
        <v>0</v>
      </c>
      <c r="F161" s="27">
        <f>IF(OR($C161="",F$5=""),"",COUNTIFS(tblPresences[Étudiant],$C161,tblPresences[Code matière],F$5,tblPresences[Statut],"A"))</f>
        <v>0</v>
      </c>
      <c r="G161" s="27">
        <f>IF(OR($C161="",G$5=""),"",COUNTIFS(tblPresences[Étudiant],$C161,tblPresences[Code matière],G$5,tblPresences[Statut],"A"))</f>
        <v>0</v>
      </c>
      <c r="H161" s="27">
        <f>IF(OR($C161="",H$5=""),"",COUNTIFS(tblPresences[Étudiant],$C161,tblPresences[Code matière],H$5,tblPresences[Statut],"A"))</f>
        <v>0</v>
      </c>
      <c r="I161" s="27">
        <f>IF(OR($C161="",I$5=""),"",COUNTIFS(tblPresences[Étudiant],$C161,tblPresences[Code matière],I$5,tblPresences[Statut],"A"))</f>
        <v>0</v>
      </c>
      <c r="J161" s="27">
        <f>IF(OR($C161="",J$5=""),"",COUNTIFS(tblPresences[Étudiant],$C161,tblPresences[Code matière],J$5,tblPresences[Statut],"A"))</f>
        <v>0</v>
      </c>
      <c r="K161" s="27">
        <f>IF(OR($C161="",K$5=""),"",COUNTIFS(tblPresences[Étudiant],$C161,tblPresences[Code matière],K$5,tblPresences[Statut],"A"))</f>
        <v>0</v>
      </c>
      <c r="L161" s="27">
        <f>IF(OR($C161="",L$5=""),"",COUNTIFS(tblPresences[Étudiant],$C161,tblPresences[Code matière],L$5,tblPresences[Statut],"A"))</f>
        <v>0</v>
      </c>
      <c r="M161" s="27">
        <f>IF(OR($C161="",M$5=""),"",COUNTIFS(tblPresences[Étudiant],$C161,tblPresences[Code matière],M$5,tblPresences[Statut],"A"))</f>
        <v>0</v>
      </c>
      <c r="N161" s="27">
        <f>IF(OR($C161="",N$5=""),"",COUNTIFS(tblPresences[Étudiant],$C161,tblPresences[Code matière],N$5,tblPresences[Statut],"A"))</f>
        <v>0</v>
      </c>
      <c r="O161" s="27">
        <f>IF(OR($C161="",O$5=""),"",COUNTIFS(tblPresences[Étudiant],$C161,tblPresences[Code matière],O$5,tblPresences[Statut],"A"))</f>
        <v>0</v>
      </c>
      <c r="P161" s="27">
        <f>IF(OR($C161="",P$5=""),"",COUNTIFS(tblPresences[Étudiant],$C161,tblPresences[Code matière],P$5,tblPresences[Statut],"A"))</f>
        <v>0</v>
      </c>
      <c r="Q161" s="28">
        <f>IF(C161="","",SUM(E161:P161))</f>
        <v>0</v>
      </c>
      <c r="R161" s="27">
        <f>IF(C161="","",COUNTIFS(tblPresences[Étudiant],C161,tblPresences[Statut],"R"))</f>
        <v>0</v>
      </c>
      <c r="S161" s="123">
        <f>IF(C161="","",IFERROR((COUNTIFS(tblPresences[Étudiant],C161,tblPresences[Statut],"P")+COUNTIFS(tblPresences[Étudiant],C161,tblPresences[Statut],"R"))/COUNTIF(tblPresences[Étudiant],C161),""))</f>
        <v>0</v>
      </c>
      <c r="T161" s="27">
        <f>IF(C161="","",MAX(E161:P161))</f>
        <v>0</v>
      </c>
      <c r="U161" s="146">
        <f>IF(C161="","",IF(T161&gt;pSeuil,"⚠ ALERTE",""))</f>
        <v>0</v>
      </c>
    </row>
    <row r="162" spans="2:21">
      <c r="B162" s="147">
        <f>IF(C162="","",156)</f>
        <v>0</v>
      </c>
      <c r="C162" s="32">
        <f>IFERROR(INDEX(tblEtudiants[Nom et prénoms],156)&amp;"","")</f>
        <v>0</v>
      </c>
      <c r="D162" s="30">
        <f>IF(C162="","",INDEX(tblEtudiants[Groupe],156)&amp;"")</f>
        <v>0</v>
      </c>
      <c r="E162" s="30">
        <f>IF(OR($C162="",E$5=""),"",COUNTIFS(tblPresences[Étudiant],$C162,tblPresences[Code matière],E$5,tblPresences[Statut],"A"))</f>
        <v>0</v>
      </c>
      <c r="F162" s="30">
        <f>IF(OR($C162="",F$5=""),"",COUNTIFS(tblPresences[Étudiant],$C162,tblPresences[Code matière],F$5,tblPresences[Statut],"A"))</f>
        <v>0</v>
      </c>
      <c r="G162" s="30">
        <f>IF(OR($C162="",G$5=""),"",COUNTIFS(tblPresences[Étudiant],$C162,tblPresences[Code matière],G$5,tblPresences[Statut],"A"))</f>
        <v>0</v>
      </c>
      <c r="H162" s="30">
        <f>IF(OR($C162="",H$5=""),"",COUNTIFS(tblPresences[Étudiant],$C162,tblPresences[Code matière],H$5,tblPresences[Statut],"A"))</f>
        <v>0</v>
      </c>
      <c r="I162" s="30">
        <f>IF(OR($C162="",I$5=""),"",COUNTIFS(tblPresences[Étudiant],$C162,tblPresences[Code matière],I$5,tblPresences[Statut],"A"))</f>
        <v>0</v>
      </c>
      <c r="J162" s="30">
        <f>IF(OR($C162="",J$5=""),"",COUNTIFS(tblPresences[Étudiant],$C162,tblPresences[Code matière],J$5,tblPresences[Statut],"A"))</f>
        <v>0</v>
      </c>
      <c r="K162" s="30">
        <f>IF(OR($C162="",K$5=""),"",COUNTIFS(tblPresences[Étudiant],$C162,tblPresences[Code matière],K$5,tblPresences[Statut],"A"))</f>
        <v>0</v>
      </c>
      <c r="L162" s="30">
        <f>IF(OR($C162="",L$5=""),"",COUNTIFS(tblPresences[Étudiant],$C162,tblPresences[Code matière],L$5,tblPresences[Statut],"A"))</f>
        <v>0</v>
      </c>
      <c r="M162" s="30">
        <f>IF(OR($C162="",M$5=""),"",COUNTIFS(tblPresences[Étudiant],$C162,tblPresences[Code matière],M$5,tblPresences[Statut],"A"))</f>
        <v>0</v>
      </c>
      <c r="N162" s="30">
        <f>IF(OR($C162="",N$5=""),"",COUNTIFS(tblPresences[Étudiant],$C162,tblPresences[Code matière],N$5,tblPresences[Statut],"A"))</f>
        <v>0</v>
      </c>
      <c r="O162" s="30">
        <f>IF(OR($C162="",O$5=""),"",COUNTIFS(tblPresences[Étudiant],$C162,tblPresences[Code matière],O$5,tblPresences[Statut],"A"))</f>
        <v>0</v>
      </c>
      <c r="P162" s="30">
        <f>IF(OR($C162="",P$5=""),"",COUNTIFS(tblPresences[Étudiant],$C162,tblPresences[Code matière],P$5,tblPresences[Statut],"A"))</f>
        <v>0</v>
      </c>
      <c r="Q162" s="31">
        <f>IF(C162="","",SUM(E162:P162))</f>
        <v>0</v>
      </c>
      <c r="R162" s="30">
        <f>IF(C162="","",COUNTIFS(tblPresences[Étudiant],C162,tblPresences[Statut],"R"))</f>
        <v>0</v>
      </c>
      <c r="S162" s="124">
        <f>IF(C162="","",IFERROR((COUNTIFS(tblPresences[Étudiant],C162,tblPresences[Statut],"P")+COUNTIFS(tblPresences[Étudiant],C162,tblPresences[Statut],"R"))/COUNTIF(tblPresences[Étudiant],C162),""))</f>
        <v>0</v>
      </c>
      <c r="T162" s="30">
        <f>IF(C162="","",MAX(E162:P162))</f>
        <v>0</v>
      </c>
      <c r="U162" s="148">
        <f>IF(C162="","",IF(T162&gt;pSeuil,"⚠ ALERTE",""))</f>
        <v>0</v>
      </c>
    </row>
    <row r="163" spans="2:21">
      <c r="B163" s="145">
        <f>IF(C163="","",157)</f>
        <v>0</v>
      </c>
      <c r="C163" s="29">
        <f>IFERROR(INDEX(tblEtudiants[Nom et prénoms],157)&amp;"","")</f>
        <v>0</v>
      </c>
      <c r="D163" s="27">
        <f>IF(C163="","",INDEX(tblEtudiants[Groupe],157)&amp;"")</f>
        <v>0</v>
      </c>
      <c r="E163" s="27">
        <f>IF(OR($C163="",E$5=""),"",COUNTIFS(tblPresences[Étudiant],$C163,tblPresences[Code matière],E$5,tblPresences[Statut],"A"))</f>
        <v>0</v>
      </c>
      <c r="F163" s="27">
        <f>IF(OR($C163="",F$5=""),"",COUNTIFS(tblPresences[Étudiant],$C163,tblPresences[Code matière],F$5,tblPresences[Statut],"A"))</f>
        <v>0</v>
      </c>
      <c r="G163" s="27">
        <f>IF(OR($C163="",G$5=""),"",COUNTIFS(tblPresences[Étudiant],$C163,tblPresences[Code matière],G$5,tblPresences[Statut],"A"))</f>
        <v>0</v>
      </c>
      <c r="H163" s="27">
        <f>IF(OR($C163="",H$5=""),"",COUNTIFS(tblPresences[Étudiant],$C163,tblPresences[Code matière],H$5,tblPresences[Statut],"A"))</f>
        <v>0</v>
      </c>
      <c r="I163" s="27">
        <f>IF(OR($C163="",I$5=""),"",COUNTIFS(tblPresences[Étudiant],$C163,tblPresences[Code matière],I$5,tblPresences[Statut],"A"))</f>
        <v>0</v>
      </c>
      <c r="J163" s="27">
        <f>IF(OR($C163="",J$5=""),"",COUNTIFS(tblPresences[Étudiant],$C163,tblPresences[Code matière],J$5,tblPresences[Statut],"A"))</f>
        <v>0</v>
      </c>
      <c r="K163" s="27">
        <f>IF(OR($C163="",K$5=""),"",COUNTIFS(tblPresences[Étudiant],$C163,tblPresences[Code matière],K$5,tblPresences[Statut],"A"))</f>
        <v>0</v>
      </c>
      <c r="L163" s="27">
        <f>IF(OR($C163="",L$5=""),"",COUNTIFS(tblPresences[Étudiant],$C163,tblPresences[Code matière],L$5,tblPresences[Statut],"A"))</f>
        <v>0</v>
      </c>
      <c r="M163" s="27">
        <f>IF(OR($C163="",M$5=""),"",COUNTIFS(tblPresences[Étudiant],$C163,tblPresences[Code matière],M$5,tblPresences[Statut],"A"))</f>
        <v>0</v>
      </c>
      <c r="N163" s="27">
        <f>IF(OR($C163="",N$5=""),"",COUNTIFS(tblPresences[Étudiant],$C163,tblPresences[Code matière],N$5,tblPresences[Statut],"A"))</f>
        <v>0</v>
      </c>
      <c r="O163" s="27">
        <f>IF(OR($C163="",O$5=""),"",COUNTIFS(tblPresences[Étudiant],$C163,tblPresences[Code matière],O$5,tblPresences[Statut],"A"))</f>
        <v>0</v>
      </c>
      <c r="P163" s="27">
        <f>IF(OR($C163="",P$5=""),"",COUNTIFS(tblPresences[Étudiant],$C163,tblPresences[Code matière],P$5,tblPresences[Statut],"A"))</f>
        <v>0</v>
      </c>
      <c r="Q163" s="28">
        <f>IF(C163="","",SUM(E163:P163))</f>
        <v>0</v>
      </c>
      <c r="R163" s="27">
        <f>IF(C163="","",COUNTIFS(tblPresences[Étudiant],C163,tblPresences[Statut],"R"))</f>
        <v>0</v>
      </c>
      <c r="S163" s="123">
        <f>IF(C163="","",IFERROR((COUNTIFS(tblPresences[Étudiant],C163,tblPresences[Statut],"P")+COUNTIFS(tblPresences[Étudiant],C163,tblPresences[Statut],"R"))/COUNTIF(tblPresences[Étudiant],C163),""))</f>
        <v>0</v>
      </c>
      <c r="T163" s="27">
        <f>IF(C163="","",MAX(E163:P163))</f>
        <v>0</v>
      </c>
      <c r="U163" s="146">
        <f>IF(C163="","",IF(T163&gt;pSeuil,"⚠ ALERTE",""))</f>
        <v>0</v>
      </c>
    </row>
    <row r="164" spans="2:21">
      <c r="B164" s="147">
        <f>IF(C164="","",158)</f>
        <v>0</v>
      </c>
      <c r="C164" s="32">
        <f>IFERROR(INDEX(tblEtudiants[Nom et prénoms],158)&amp;"","")</f>
        <v>0</v>
      </c>
      <c r="D164" s="30">
        <f>IF(C164="","",INDEX(tblEtudiants[Groupe],158)&amp;"")</f>
        <v>0</v>
      </c>
      <c r="E164" s="30">
        <f>IF(OR($C164="",E$5=""),"",COUNTIFS(tblPresences[Étudiant],$C164,tblPresences[Code matière],E$5,tblPresences[Statut],"A"))</f>
        <v>0</v>
      </c>
      <c r="F164" s="30">
        <f>IF(OR($C164="",F$5=""),"",COUNTIFS(tblPresences[Étudiant],$C164,tblPresences[Code matière],F$5,tblPresences[Statut],"A"))</f>
        <v>0</v>
      </c>
      <c r="G164" s="30">
        <f>IF(OR($C164="",G$5=""),"",COUNTIFS(tblPresences[Étudiant],$C164,tblPresences[Code matière],G$5,tblPresences[Statut],"A"))</f>
        <v>0</v>
      </c>
      <c r="H164" s="30">
        <f>IF(OR($C164="",H$5=""),"",COUNTIFS(tblPresences[Étudiant],$C164,tblPresences[Code matière],H$5,tblPresences[Statut],"A"))</f>
        <v>0</v>
      </c>
      <c r="I164" s="30">
        <f>IF(OR($C164="",I$5=""),"",COUNTIFS(tblPresences[Étudiant],$C164,tblPresences[Code matière],I$5,tblPresences[Statut],"A"))</f>
        <v>0</v>
      </c>
      <c r="J164" s="30">
        <f>IF(OR($C164="",J$5=""),"",COUNTIFS(tblPresences[Étudiant],$C164,tblPresences[Code matière],J$5,tblPresences[Statut],"A"))</f>
        <v>0</v>
      </c>
      <c r="K164" s="30">
        <f>IF(OR($C164="",K$5=""),"",COUNTIFS(tblPresences[Étudiant],$C164,tblPresences[Code matière],K$5,tblPresences[Statut],"A"))</f>
        <v>0</v>
      </c>
      <c r="L164" s="30">
        <f>IF(OR($C164="",L$5=""),"",COUNTIFS(tblPresences[Étudiant],$C164,tblPresences[Code matière],L$5,tblPresences[Statut],"A"))</f>
        <v>0</v>
      </c>
      <c r="M164" s="30">
        <f>IF(OR($C164="",M$5=""),"",COUNTIFS(tblPresences[Étudiant],$C164,tblPresences[Code matière],M$5,tblPresences[Statut],"A"))</f>
        <v>0</v>
      </c>
      <c r="N164" s="30">
        <f>IF(OR($C164="",N$5=""),"",COUNTIFS(tblPresences[Étudiant],$C164,tblPresences[Code matière],N$5,tblPresences[Statut],"A"))</f>
        <v>0</v>
      </c>
      <c r="O164" s="30">
        <f>IF(OR($C164="",O$5=""),"",COUNTIFS(tblPresences[Étudiant],$C164,tblPresences[Code matière],O$5,tblPresences[Statut],"A"))</f>
        <v>0</v>
      </c>
      <c r="P164" s="30">
        <f>IF(OR($C164="",P$5=""),"",COUNTIFS(tblPresences[Étudiant],$C164,tblPresences[Code matière],P$5,tblPresences[Statut],"A"))</f>
        <v>0</v>
      </c>
      <c r="Q164" s="31">
        <f>IF(C164="","",SUM(E164:P164))</f>
        <v>0</v>
      </c>
      <c r="R164" s="30">
        <f>IF(C164="","",COUNTIFS(tblPresences[Étudiant],C164,tblPresences[Statut],"R"))</f>
        <v>0</v>
      </c>
      <c r="S164" s="124">
        <f>IF(C164="","",IFERROR((COUNTIFS(tblPresences[Étudiant],C164,tblPresences[Statut],"P")+COUNTIFS(tblPresences[Étudiant],C164,tblPresences[Statut],"R"))/COUNTIF(tblPresences[Étudiant],C164),""))</f>
        <v>0</v>
      </c>
      <c r="T164" s="30">
        <f>IF(C164="","",MAX(E164:P164))</f>
        <v>0</v>
      </c>
      <c r="U164" s="148">
        <f>IF(C164="","",IF(T164&gt;pSeuil,"⚠ ALERTE",""))</f>
        <v>0</v>
      </c>
    </row>
    <row r="165" spans="2:21">
      <c r="B165" s="145">
        <f>IF(C165="","",159)</f>
        <v>0</v>
      </c>
      <c r="C165" s="29">
        <f>IFERROR(INDEX(tblEtudiants[Nom et prénoms],159)&amp;"","")</f>
        <v>0</v>
      </c>
      <c r="D165" s="27">
        <f>IF(C165="","",INDEX(tblEtudiants[Groupe],159)&amp;"")</f>
        <v>0</v>
      </c>
      <c r="E165" s="27">
        <f>IF(OR($C165="",E$5=""),"",COUNTIFS(tblPresences[Étudiant],$C165,tblPresences[Code matière],E$5,tblPresences[Statut],"A"))</f>
        <v>0</v>
      </c>
      <c r="F165" s="27">
        <f>IF(OR($C165="",F$5=""),"",COUNTIFS(tblPresences[Étudiant],$C165,tblPresences[Code matière],F$5,tblPresences[Statut],"A"))</f>
        <v>0</v>
      </c>
      <c r="G165" s="27">
        <f>IF(OR($C165="",G$5=""),"",COUNTIFS(tblPresences[Étudiant],$C165,tblPresences[Code matière],G$5,tblPresences[Statut],"A"))</f>
        <v>0</v>
      </c>
      <c r="H165" s="27">
        <f>IF(OR($C165="",H$5=""),"",COUNTIFS(tblPresences[Étudiant],$C165,tblPresences[Code matière],H$5,tblPresences[Statut],"A"))</f>
        <v>0</v>
      </c>
      <c r="I165" s="27">
        <f>IF(OR($C165="",I$5=""),"",COUNTIFS(tblPresences[Étudiant],$C165,tblPresences[Code matière],I$5,tblPresences[Statut],"A"))</f>
        <v>0</v>
      </c>
      <c r="J165" s="27">
        <f>IF(OR($C165="",J$5=""),"",COUNTIFS(tblPresences[Étudiant],$C165,tblPresences[Code matière],J$5,tblPresences[Statut],"A"))</f>
        <v>0</v>
      </c>
      <c r="K165" s="27">
        <f>IF(OR($C165="",K$5=""),"",COUNTIFS(tblPresences[Étudiant],$C165,tblPresences[Code matière],K$5,tblPresences[Statut],"A"))</f>
        <v>0</v>
      </c>
      <c r="L165" s="27">
        <f>IF(OR($C165="",L$5=""),"",COUNTIFS(tblPresences[Étudiant],$C165,tblPresences[Code matière],L$5,tblPresences[Statut],"A"))</f>
        <v>0</v>
      </c>
      <c r="M165" s="27">
        <f>IF(OR($C165="",M$5=""),"",COUNTIFS(tblPresences[Étudiant],$C165,tblPresences[Code matière],M$5,tblPresences[Statut],"A"))</f>
        <v>0</v>
      </c>
      <c r="N165" s="27">
        <f>IF(OR($C165="",N$5=""),"",COUNTIFS(tblPresences[Étudiant],$C165,tblPresences[Code matière],N$5,tblPresences[Statut],"A"))</f>
        <v>0</v>
      </c>
      <c r="O165" s="27">
        <f>IF(OR($C165="",O$5=""),"",COUNTIFS(tblPresences[Étudiant],$C165,tblPresences[Code matière],O$5,tblPresences[Statut],"A"))</f>
        <v>0</v>
      </c>
      <c r="P165" s="27">
        <f>IF(OR($C165="",P$5=""),"",COUNTIFS(tblPresences[Étudiant],$C165,tblPresences[Code matière],P$5,tblPresences[Statut],"A"))</f>
        <v>0</v>
      </c>
      <c r="Q165" s="28">
        <f>IF(C165="","",SUM(E165:P165))</f>
        <v>0</v>
      </c>
      <c r="R165" s="27">
        <f>IF(C165="","",COUNTIFS(tblPresences[Étudiant],C165,tblPresences[Statut],"R"))</f>
        <v>0</v>
      </c>
      <c r="S165" s="123">
        <f>IF(C165="","",IFERROR((COUNTIFS(tblPresences[Étudiant],C165,tblPresences[Statut],"P")+COUNTIFS(tblPresences[Étudiant],C165,tblPresences[Statut],"R"))/COUNTIF(tblPresences[Étudiant],C165),""))</f>
        <v>0</v>
      </c>
      <c r="T165" s="27">
        <f>IF(C165="","",MAX(E165:P165))</f>
        <v>0</v>
      </c>
      <c r="U165" s="146">
        <f>IF(C165="","",IF(T165&gt;pSeuil,"⚠ ALERTE",""))</f>
        <v>0</v>
      </c>
    </row>
    <row r="166" spans="2:21">
      <c r="B166" s="147">
        <f>IF(C166="","",160)</f>
        <v>0</v>
      </c>
      <c r="C166" s="32">
        <f>IFERROR(INDEX(tblEtudiants[Nom et prénoms],160)&amp;"","")</f>
        <v>0</v>
      </c>
      <c r="D166" s="30">
        <f>IF(C166="","",INDEX(tblEtudiants[Groupe],160)&amp;"")</f>
        <v>0</v>
      </c>
      <c r="E166" s="30">
        <f>IF(OR($C166="",E$5=""),"",COUNTIFS(tblPresences[Étudiant],$C166,tblPresences[Code matière],E$5,tblPresences[Statut],"A"))</f>
        <v>0</v>
      </c>
      <c r="F166" s="30">
        <f>IF(OR($C166="",F$5=""),"",COUNTIFS(tblPresences[Étudiant],$C166,tblPresences[Code matière],F$5,tblPresences[Statut],"A"))</f>
        <v>0</v>
      </c>
      <c r="G166" s="30">
        <f>IF(OR($C166="",G$5=""),"",COUNTIFS(tblPresences[Étudiant],$C166,tblPresences[Code matière],G$5,tblPresences[Statut],"A"))</f>
        <v>0</v>
      </c>
      <c r="H166" s="30">
        <f>IF(OR($C166="",H$5=""),"",COUNTIFS(tblPresences[Étudiant],$C166,tblPresences[Code matière],H$5,tblPresences[Statut],"A"))</f>
        <v>0</v>
      </c>
      <c r="I166" s="30">
        <f>IF(OR($C166="",I$5=""),"",COUNTIFS(tblPresences[Étudiant],$C166,tblPresences[Code matière],I$5,tblPresences[Statut],"A"))</f>
        <v>0</v>
      </c>
      <c r="J166" s="30">
        <f>IF(OR($C166="",J$5=""),"",COUNTIFS(tblPresences[Étudiant],$C166,tblPresences[Code matière],J$5,tblPresences[Statut],"A"))</f>
        <v>0</v>
      </c>
      <c r="K166" s="30">
        <f>IF(OR($C166="",K$5=""),"",COUNTIFS(tblPresences[Étudiant],$C166,tblPresences[Code matière],K$5,tblPresences[Statut],"A"))</f>
        <v>0</v>
      </c>
      <c r="L166" s="30">
        <f>IF(OR($C166="",L$5=""),"",COUNTIFS(tblPresences[Étudiant],$C166,tblPresences[Code matière],L$5,tblPresences[Statut],"A"))</f>
        <v>0</v>
      </c>
      <c r="M166" s="30">
        <f>IF(OR($C166="",M$5=""),"",COUNTIFS(tblPresences[Étudiant],$C166,tblPresences[Code matière],M$5,tblPresences[Statut],"A"))</f>
        <v>0</v>
      </c>
      <c r="N166" s="30">
        <f>IF(OR($C166="",N$5=""),"",COUNTIFS(tblPresences[Étudiant],$C166,tblPresences[Code matière],N$5,tblPresences[Statut],"A"))</f>
        <v>0</v>
      </c>
      <c r="O166" s="30">
        <f>IF(OR($C166="",O$5=""),"",COUNTIFS(tblPresences[Étudiant],$C166,tblPresences[Code matière],O$5,tblPresences[Statut],"A"))</f>
        <v>0</v>
      </c>
      <c r="P166" s="30">
        <f>IF(OR($C166="",P$5=""),"",COUNTIFS(tblPresences[Étudiant],$C166,tblPresences[Code matière],P$5,tblPresences[Statut],"A"))</f>
        <v>0</v>
      </c>
      <c r="Q166" s="31">
        <f>IF(C166="","",SUM(E166:P166))</f>
        <v>0</v>
      </c>
      <c r="R166" s="30">
        <f>IF(C166="","",COUNTIFS(tblPresences[Étudiant],C166,tblPresences[Statut],"R"))</f>
        <v>0</v>
      </c>
      <c r="S166" s="124">
        <f>IF(C166="","",IFERROR((COUNTIFS(tblPresences[Étudiant],C166,tblPresences[Statut],"P")+COUNTIFS(tblPresences[Étudiant],C166,tblPresences[Statut],"R"))/COUNTIF(tblPresences[Étudiant],C166),""))</f>
        <v>0</v>
      </c>
      <c r="T166" s="30">
        <f>IF(C166="","",MAX(E166:P166))</f>
        <v>0</v>
      </c>
      <c r="U166" s="148">
        <f>IF(C166="","",IF(T166&gt;pSeuil,"⚠ ALERTE",""))</f>
        <v>0</v>
      </c>
    </row>
    <row r="167" spans="2:21">
      <c r="B167" s="145">
        <f>IF(C167="","",161)</f>
        <v>0</v>
      </c>
      <c r="C167" s="29">
        <f>IFERROR(INDEX(tblEtudiants[Nom et prénoms],161)&amp;"","")</f>
        <v>0</v>
      </c>
      <c r="D167" s="27">
        <f>IF(C167="","",INDEX(tblEtudiants[Groupe],161)&amp;"")</f>
        <v>0</v>
      </c>
      <c r="E167" s="27">
        <f>IF(OR($C167="",E$5=""),"",COUNTIFS(tblPresences[Étudiant],$C167,tblPresences[Code matière],E$5,tblPresences[Statut],"A"))</f>
        <v>0</v>
      </c>
      <c r="F167" s="27">
        <f>IF(OR($C167="",F$5=""),"",COUNTIFS(tblPresences[Étudiant],$C167,tblPresences[Code matière],F$5,tblPresences[Statut],"A"))</f>
        <v>0</v>
      </c>
      <c r="G167" s="27">
        <f>IF(OR($C167="",G$5=""),"",COUNTIFS(tblPresences[Étudiant],$C167,tblPresences[Code matière],G$5,tblPresences[Statut],"A"))</f>
        <v>0</v>
      </c>
      <c r="H167" s="27">
        <f>IF(OR($C167="",H$5=""),"",COUNTIFS(tblPresences[Étudiant],$C167,tblPresences[Code matière],H$5,tblPresences[Statut],"A"))</f>
        <v>0</v>
      </c>
      <c r="I167" s="27">
        <f>IF(OR($C167="",I$5=""),"",COUNTIFS(tblPresences[Étudiant],$C167,tblPresences[Code matière],I$5,tblPresences[Statut],"A"))</f>
        <v>0</v>
      </c>
      <c r="J167" s="27">
        <f>IF(OR($C167="",J$5=""),"",COUNTIFS(tblPresences[Étudiant],$C167,tblPresences[Code matière],J$5,tblPresences[Statut],"A"))</f>
        <v>0</v>
      </c>
      <c r="K167" s="27">
        <f>IF(OR($C167="",K$5=""),"",COUNTIFS(tblPresences[Étudiant],$C167,tblPresences[Code matière],K$5,tblPresences[Statut],"A"))</f>
        <v>0</v>
      </c>
      <c r="L167" s="27">
        <f>IF(OR($C167="",L$5=""),"",COUNTIFS(tblPresences[Étudiant],$C167,tblPresences[Code matière],L$5,tblPresences[Statut],"A"))</f>
        <v>0</v>
      </c>
      <c r="M167" s="27">
        <f>IF(OR($C167="",M$5=""),"",COUNTIFS(tblPresences[Étudiant],$C167,tblPresences[Code matière],M$5,tblPresences[Statut],"A"))</f>
        <v>0</v>
      </c>
      <c r="N167" s="27">
        <f>IF(OR($C167="",N$5=""),"",COUNTIFS(tblPresences[Étudiant],$C167,tblPresences[Code matière],N$5,tblPresences[Statut],"A"))</f>
        <v>0</v>
      </c>
      <c r="O167" s="27">
        <f>IF(OR($C167="",O$5=""),"",COUNTIFS(tblPresences[Étudiant],$C167,tblPresences[Code matière],O$5,tblPresences[Statut],"A"))</f>
        <v>0</v>
      </c>
      <c r="P167" s="27">
        <f>IF(OR($C167="",P$5=""),"",COUNTIFS(tblPresences[Étudiant],$C167,tblPresences[Code matière],P$5,tblPresences[Statut],"A"))</f>
        <v>0</v>
      </c>
      <c r="Q167" s="28">
        <f>IF(C167="","",SUM(E167:P167))</f>
        <v>0</v>
      </c>
      <c r="R167" s="27">
        <f>IF(C167="","",COUNTIFS(tblPresences[Étudiant],C167,tblPresences[Statut],"R"))</f>
        <v>0</v>
      </c>
      <c r="S167" s="123">
        <f>IF(C167="","",IFERROR((COUNTIFS(tblPresences[Étudiant],C167,tblPresences[Statut],"P")+COUNTIFS(tblPresences[Étudiant],C167,tblPresences[Statut],"R"))/COUNTIF(tblPresences[Étudiant],C167),""))</f>
        <v>0</v>
      </c>
      <c r="T167" s="27">
        <f>IF(C167="","",MAX(E167:P167))</f>
        <v>0</v>
      </c>
      <c r="U167" s="146">
        <f>IF(C167="","",IF(T167&gt;pSeuil,"⚠ ALERTE",""))</f>
        <v>0</v>
      </c>
    </row>
    <row r="168" spans="2:21">
      <c r="B168" s="147">
        <f>IF(C168="","",162)</f>
        <v>0</v>
      </c>
      <c r="C168" s="32">
        <f>IFERROR(INDEX(tblEtudiants[Nom et prénoms],162)&amp;"","")</f>
        <v>0</v>
      </c>
      <c r="D168" s="30">
        <f>IF(C168="","",INDEX(tblEtudiants[Groupe],162)&amp;"")</f>
        <v>0</v>
      </c>
      <c r="E168" s="30">
        <f>IF(OR($C168="",E$5=""),"",COUNTIFS(tblPresences[Étudiant],$C168,tblPresences[Code matière],E$5,tblPresences[Statut],"A"))</f>
        <v>0</v>
      </c>
      <c r="F168" s="30">
        <f>IF(OR($C168="",F$5=""),"",COUNTIFS(tblPresences[Étudiant],$C168,tblPresences[Code matière],F$5,tblPresences[Statut],"A"))</f>
        <v>0</v>
      </c>
      <c r="G168" s="30">
        <f>IF(OR($C168="",G$5=""),"",COUNTIFS(tblPresences[Étudiant],$C168,tblPresences[Code matière],G$5,tblPresences[Statut],"A"))</f>
        <v>0</v>
      </c>
      <c r="H168" s="30">
        <f>IF(OR($C168="",H$5=""),"",COUNTIFS(tblPresences[Étudiant],$C168,tblPresences[Code matière],H$5,tblPresences[Statut],"A"))</f>
        <v>0</v>
      </c>
      <c r="I168" s="30">
        <f>IF(OR($C168="",I$5=""),"",COUNTIFS(tblPresences[Étudiant],$C168,tblPresences[Code matière],I$5,tblPresences[Statut],"A"))</f>
        <v>0</v>
      </c>
      <c r="J168" s="30">
        <f>IF(OR($C168="",J$5=""),"",COUNTIFS(tblPresences[Étudiant],$C168,tblPresences[Code matière],J$5,tblPresences[Statut],"A"))</f>
        <v>0</v>
      </c>
      <c r="K168" s="30">
        <f>IF(OR($C168="",K$5=""),"",COUNTIFS(tblPresences[Étudiant],$C168,tblPresences[Code matière],K$5,tblPresences[Statut],"A"))</f>
        <v>0</v>
      </c>
      <c r="L168" s="30">
        <f>IF(OR($C168="",L$5=""),"",COUNTIFS(tblPresences[Étudiant],$C168,tblPresences[Code matière],L$5,tblPresences[Statut],"A"))</f>
        <v>0</v>
      </c>
      <c r="M168" s="30">
        <f>IF(OR($C168="",M$5=""),"",COUNTIFS(tblPresences[Étudiant],$C168,tblPresences[Code matière],M$5,tblPresences[Statut],"A"))</f>
        <v>0</v>
      </c>
      <c r="N168" s="30">
        <f>IF(OR($C168="",N$5=""),"",COUNTIFS(tblPresences[Étudiant],$C168,tblPresences[Code matière],N$5,tblPresences[Statut],"A"))</f>
        <v>0</v>
      </c>
      <c r="O168" s="30">
        <f>IF(OR($C168="",O$5=""),"",COUNTIFS(tblPresences[Étudiant],$C168,tblPresences[Code matière],O$5,tblPresences[Statut],"A"))</f>
        <v>0</v>
      </c>
      <c r="P168" s="30">
        <f>IF(OR($C168="",P$5=""),"",COUNTIFS(tblPresences[Étudiant],$C168,tblPresences[Code matière],P$5,tblPresences[Statut],"A"))</f>
        <v>0</v>
      </c>
      <c r="Q168" s="31">
        <f>IF(C168="","",SUM(E168:P168))</f>
        <v>0</v>
      </c>
      <c r="R168" s="30">
        <f>IF(C168="","",COUNTIFS(tblPresences[Étudiant],C168,tblPresences[Statut],"R"))</f>
        <v>0</v>
      </c>
      <c r="S168" s="124">
        <f>IF(C168="","",IFERROR((COUNTIFS(tblPresences[Étudiant],C168,tblPresences[Statut],"P")+COUNTIFS(tblPresences[Étudiant],C168,tblPresences[Statut],"R"))/COUNTIF(tblPresences[Étudiant],C168),""))</f>
        <v>0</v>
      </c>
      <c r="T168" s="30">
        <f>IF(C168="","",MAX(E168:P168))</f>
        <v>0</v>
      </c>
      <c r="U168" s="148">
        <f>IF(C168="","",IF(T168&gt;pSeuil,"⚠ ALERTE",""))</f>
        <v>0</v>
      </c>
    </row>
    <row r="169" spans="2:21">
      <c r="B169" s="145">
        <f>IF(C169="","",163)</f>
        <v>0</v>
      </c>
      <c r="C169" s="29">
        <f>IFERROR(INDEX(tblEtudiants[Nom et prénoms],163)&amp;"","")</f>
        <v>0</v>
      </c>
      <c r="D169" s="27">
        <f>IF(C169="","",INDEX(tblEtudiants[Groupe],163)&amp;"")</f>
        <v>0</v>
      </c>
      <c r="E169" s="27">
        <f>IF(OR($C169="",E$5=""),"",COUNTIFS(tblPresences[Étudiant],$C169,tblPresences[Code matière],E$5,tblPresences[Statut],"A"))</f>
        <v>0</v>
      </c>
      <c r="F169" s="27">
        <f>IF(OR($C169="",F$5=""),"",COUNTIFS(tblPresences[Étudiant],$C169,tblPresences[Code matière],F$5,tblPresences[Statut],"A"))</f>
        <v>0</v>
      </c>
      <c r="G169" s="27">
        <f>IF(OR($C169="",G$5=""),"",COUNTIFS(tblPresences[Étudiant],$C169,tblPresences[Code matière],G$5,tblPresences[Statut],"A"))</f>
        <v>0</v>
      </c>
      <c r="H169" s="27">
        <f>IF(OR($C169="",H$5=""),"",COUNTIFS(tblPresences[Étudiant],$C169,tblPresences[Code matière],H$5,tblPresences[Statut],"A"))</f>
        <v>0</v>
      </c>
      <c r="I169" s="27">
        <f>IF(OR($C169="",I$5=""),"",COUNTIFS(tblPresences[Étudiant],$C169,tblPresences[Code matière],I$5,tblPresences[Statut],"A"))</f>
        <v>0</v>
      </c>
      <c r="J169" s="27">
        <f>IF(OR($C169="",J$5=""),"",COUNTIFS(tblPresences[Étudiant],$C169,tblPresences[Code matière],J$5,tblPresences[Statut],"A"))</f>
        <v>0</v>
      </c>
      <c r="K169" s="27">
        <f>IF(OR($C169="",K$5=""),"",COUNTIFS(tblPresences[Étudiant],$C169,tblPresences[Code matière],K$5,tblPresences[Statut],"A"))</f>
        <v>0</v>
      </c>
      <c r="L169" s="27">
        <f>IF(OR($C169="",L$5=""),"",COUNTIFS(tblPresences[Étudiant],$C169,tblPresences[Code matière],L$5,tblPresences[Statut],"A"))</f>
        <v>0</v>
      </c>
      <c r="M169" s="27">
        <f>IF(OR($C169="",M$5=""),"",COUNTIFS(tblPresences[Étudiant],$C169,tblPresences[Code matière],M$5,tblPresences[Statut],"A"))</f>
        <v>0</v>
      </c>
      <c r="N169" s="27">
        <f>IF(OR($C169="",N$5=""),"",COUNTIFS(tblPresences[Étudiant],$C169,tblPresences[Code matière],N$5,tblPresences[Statut],"A"))</f>
        <v>0</v>
      </c>
      <c r="O169" s="27">
        <f>IF(OR($C169="",O$5=""),"",COUNTIFS(tblPresences[Étudiant],$C169,tblPresences[Code matière],O$5,tblPresences[Statut],"A"))</f>
        <v>0</v>
      </c>
      <c r="P169" s="27">
        <f>IF(OR($C169="",P$5=""),"",COUNTIFS(tblPresences[Étudiant],$C169,tblPresences[Code matière],P$5,tblPresences[Statut],"A"))</f>
        <v>0</v>
      </c>
      <c r="Q169" s="28">
        <f>IF(C169="","",SUM(E169:P169))</f>
        <v>0</v>
      </c>
      <c r="R169" s="27">
        <f>IF(C169="","",COUNTIFS(tblPresences[Étudiant],C169,tblPresences[Statut],"R"))</f>
        <v>0</v>
      </c>
      <c r="S169" s="123">
        <f>IF(C169="","",IFERROR((COUNTIFS(tblPresences[Étudiant],C169,tblPresences[Statut],"P")+COUNTIFS(tblPresences[Étudiant],C169,tblPresences[Statut],"R"))/COUNTIF(tblPresences[Étudiant],C169),""))</f>
        <v>0</v>
      </c>
      <c r="T169" s="27">
        <f>IF(C169="","",MAX(E169:P169))</f>
        <v>0</v>
      </c>
      <c r="U169" s="146">
        <f>IF(C169="","",IF(T169&gt;pSeuil,"⚠ ALERTE",""))</f>
        <v>0</v>
      </c>
    </row>
    <row r="170" spans="2:21">
      <c r="B170" s="147">
        <f>IF(C170="","",164)</f>
        <v>0</v>
      </c>
      <c r="C170" s="32">
        <f>IFERROR(INDEX(tblEtudiants[Nom et prénoms],164)&amp;"","")</f>
        <v>0</v>
      </c>
      <c r="D170" s="30">
        <f>IF(C170="","",INDEX(tblEtudiants[Groupe],164)&amp;"")</f>
        <v>0</v>
      </c>
      <c r="E170" s="30">
        <f>IF(OR($C170="",E$5=""),"",COUNTIFS(tblPresences[Étudiant],$C170,tblPresences[Code matière],E$5,tblPresences[Statut],"A"))</f>
        <v>0</v>
      </c>
      <c r="F170" s="30">
        <f>IF(OR($C170="",F$5=""),"",COUNTIFS(tblPresences[Étudiant],$C170,tblPresences[Code matière],F$5,tblPresences[Statut],"A"))</f>
        <v>0</v>
      </c>
      <c r="G170" s="30">
        <f>IF(OR($C170="",G$5=""),"",COUNTIFS(tblPresences[Étudiant],$C170,tblPresences[Code matière],G$5,tblPresences[Statut],"A"))</f>
        <v>0</v>
      </c>
      <c r="H170" s="30">
        <f>IF(OR($C170="",H$5=""),"",COUNTIFS(tblPresences[Étudiant],$C170,tblPresences[Code matière],H$5,tblPresences[Statut],"A"))</f>
        <v>0</v>
      </c>
      <c r="I170" s="30">
        <f>IF(OR($C170="",I$5=""),"",COUNTIFS(tblPresences[Étudiant],$C170,tblPresences[Code matière],I$5,tblPresences[Statut],"A"))</f>
        <v>0</v>
      </c>
      <c r="J170" s="30">
        <f>IF(OR($C170="",J$5=""),"",COUNTIFS(tblPresences[Étudiant],$C170,tblPresences[Code matière],J$5,tblPresences[Statut],"A"))</f>
        <v>0</v>
      </c>
      <c r="K170" s="30">
        <f>IF(OR($C170="",K$5=""),"",COUNTIFS(tblPresences[Étudiant],$C170,tblPresences[Code matière],K$5,tblPresences[Statut],"A"))</f>
        <v>0</v>
      </c>
      <c r="L170" s="30">
        <f>IF(OR($C170="",L$5=""),"",COUNTIFS(tblPresences[Étudiant],$C170,tblPresences[Code matière],L$5,tblPresences[Statut],"A"))</f>
        <v>0</v>
      </c>
      <c r="M170" s="30">
        <f>IF(OR($C170="",M$5=""),"",COUNTIFS(tblPresences[Étudiant],$C170,tblPresences[Code matière],M$5,tblPresences[Statut],"A"))</f>
        <v>0</v>
      </c>
      <c r="N170" s="30">
        <f>IF(OR($C170="",N$5=""),"",COUNTIFS(tblPresences[Étudiant],$C170,tblPresences[Code matière],N$5,tblPresences[Statut],"A"))</f>
        <v>0</v>
      </c>
      <c r="O170" s="30">
        <f>IF(OR($C170="",O$5=""),"",COUNTIFS(tblPresences[Étudiant],$C170,tblPresences[Code matière],O$5,tblPresences[Statut],"A"))</f>
        <v>0</v>
      </c>
      <c r="P170" s="30">
        <f>IF(OR($C170="",P$5=""),"",COUNTIFS(tblPresences[Étudiant],$C170,tblPresences[Code matière],P$5,tblPresences[Statut],"A"))</f>
        <v>0</v>
      </c>
      <c r="Q170" s="31">
        <f>IF(C170="","",SUM(E170:P170))</f>
        <v>0</v>
      </c>
      <c r="R170" s="30">
        <f>IF(C170="","",COUNTIFS(tblPresences[Étudiant],C170,tblPresences[Statut],"R"))</f>
        <v>0</v>
      </c>
      <c r="S170" s="124">
        <f>IF(C170="","",IFERROR((COUNTIFS(tblPresences[Étudiant],C170,tblPresences[Statut],"P")+COUNTIFS(tblPresences[Étudiant],C170,tblPresences[Statut],"R"))/COUNTIF(tblPresences[Étudiant],C170),""))</f>
        <v>0</v>
      </c>
      <c r="T170" s="30">
        <f>IF(C170="","",MAX(E170:P170))</f>
        <v>0</v>
      </c>
      <c r="U170" s="148">
        <f>IF(C170="","",IF(T170&gt;pSeuil,"⚠ ALERTE",""))</f>
        <v>0</v>
      </c>
    </row>
    <row r="171" spans="2:21">
      <c r="B171" s="145">
        <f>IF(C171="","",165)</f>
        <v>0</v>
      </c>
      <c r="C171" s="29">
        <f>IFERROR(INDEX(tblEtudiants[Nom et prénoms],165)&amp;"","")</f>
        <v>0</v>
      </c>
      <c r="D171" s="27">
        <f>IF(C171="","",INDEX(tblEtudiants[Groupe],165)&amp;"")</f>
        <v>0</v>
      </c>
      <c r="E171" s="27">
        <f>IF(OR($C171="",E$5=""),"",COUNTIFS(tblPresences[Étudiant],$C171,tblPresences[Code matière],E$5,tblPresences[Statut],"A"))</f>
        <v>0</v>
      </c>
      <c r="F171" s="27">
        <f>IF(OR($C171="",F$5=""),"",COUNTIFS(tblPresences[Étudiant],$C171,tblPresences[Code matière],F$5,tblPresences[Statut],"A"))</f>
        <v>0</v>
      </c>
      <c r="G171" s="27">
        <f>IF(OR($C171="",G$5=""),"",COUNTIFS(tblPresences[Étudiant],$C171,tblPresences[Code matière],G$5,tblPresences[Statut],"A"))</f>
        <v>0</v>
      </c>
      <c r="H171" s="27">
        <f>IF(OR($C171="",H$5=""),"",COUNTIFS(tblPresences[Étudiant],$C171,tblPresences[Code matière],H$5,tblPresences[Statut],"A"))</f>
        <v>0</v>
      </c>
      <c r="I171" s="27">
        <f>IF(OR($C171="",I$5=""),"",COUNTIFS(tblPresences[Étudiant],$C171,tblPresences[Code matière],I$5,tblPresences[Statut],"A"))</f>
        <v>0</v>
      </c>
      <c r="J171" s="27">
        <f>IF(OR($C171="",J$5=""),"",COUNTIFS(tblPresences[Étudiant],$C171,tblPresences[Code matière],J$5,tblPresences[Statut],"A"))</f>
        <v>0</v>
      </c>
      <c r="K171" s="27">
        <f>IF(OR($C171="",K$5=""),"",COUNTIFS(tblPresences[Étudiant],$C171,tblPresences[Code matière],K$5,tblPresences[Statut],"A"))</f>
        <v>0</v>
      </c>
      <c r="L171" s="27">
        <f>IF(OR($C171="",L$5=""),"",COUNTIFS(tblPresences[Étudiant],$C171,tblPresences[Code matière],L$5,tblPresences[Statut],"A"))</f>
        <v>0</v>
      </c>
      <c r="M171" s="27">
        <f>IF(OR($C171="",M$5=""),"",COUNTIFS(tblPresences[Étudiant],$C171,tblPresences[Code matière],M$5,tblPresences[Statut],"A"))</f>
        <v>0</v>
      </c>
      <c r="N171" s="27">
        <f>IF(OR($C171="",N$5=""),"",COUNTIFS(tblPresences[Étudiant],$C171,tblPresences[Code matière],N$5,tblPresences[Statut],"A"))</f>
        <v>0</v>
      </c>
      <c r="O171" s="27">
        <f>IF(OR($C171="",O$5=""),"",COUNTIFS(tblPresences[Étudiant],$C171,tblPresences[Code matière],O$5,tblPresences[Statut],"A"))</f>
        <v>0</v>
      </c>
      <c r="P171" s="27">
        <f>IF(OR($C171="",P$5=""),"",COUNTIFS(tblPresences[Étudiant],$C171,tblPresences[Code matière],P$5,tblPresences[Statut],"A"))</f>
        <v>0</v>
      </c>
      <c r="Q171" s="28">
        <f>IF(C171="","",SUM(E171:P171))</f>
        <v>0</v>
      </c>
      <c r="R171" s="27">
        <f>IF(C171="","",COUNTIFS(tblPresences[Étudiant],C171,tblPresences[Statut],"R"))</f>
        <v>0</v>
      </c>
      <c r="S171" s="123">
        <f>IF(C171="","",IFERROR((COUNTIFS(tblPresences[Étudiant],C171,tblPresences[Statut],"P")+COUNTIFS(tblPresences[Étudiant],C171,tblPresences[Statut],"R"))/COUNTIF(tblPresences[Étudiant],C171),""))</f>
        <v>0</v>
      </c>
      <c r="T171" s="27">
        <f>IF(C171="","",MAX(E171:P171))</f>
        <v>0</v>
      </c>
      <c r="U171" s="146">
        <f>IF(C171="","",IF(T171&gt;pSeuil,"⚠ ALERTE",""))</f>
        <v>0</v>
      </c>
    </row>
    <row r="172" spans="2:21">
      <c r="B172" s="147">
        <f>IF(C172="","",166)</f>
        <v>0</v>
      </c>
      <c r="C172" s="32">
        <f>IFERROR(INDEX(tblEtudiants[Nom et prénoms],166)&amp;"","")</f>
        <v>0</v>
      </c>
      <c r="D172" s="30">
        <f>IF(C172="","",INDEX(tblEtudiants[Groupe],166)&amp;"")</f>
        <v>0</v>
      </c>
      <c r="E172" s="30">
        <f>IF(OR($C172="",E$5=""),"",COUNTIFS(tblPresences[Étudiant],$C172,tblPresences[Code matière],E$5,tblPresences[Statut],"A"))</f>
        <v>0</v>
      </c>
      <c r="F172" s="30">
        <f>IF(OR($C172="",F$5=""),"",COUNTIFS(tblPresences[Étudiant],$C172,tblPresences[Code matière],F$5,tblPresences[Statut],"A"))</f>
        <v>0</v>
      </c>
      <c r="G172" s="30">
        <f>IF(OR($C172="",G$5=""),"",COUNTIFS(tblPresences[Étudiant],$C172,tblPresences[Code matière],G$5,tblPresences[Statut],"A"))</f>
        <v>0</v>
      </c>
      <c r="H172" s="30">
        <f>IF(OR($C172="",H$5=""),"",COUNTIFS(tblPresences[Étudiant],$C172,tblPresences[Code matière],H$5,tblPresences[Statut],"A"))</f>
        <v>0</v>
      </c>
      <c r="I172" s="30">
        <f>IF(OR($C172="",I$5=""),"",COUNTIFS(tblPresences[Étudiant],$C172,tblPresences[Code matière],I$5,tblPresences[Statut],"A"))</f>
        <v>0</v>
      </c>
      <c r="J172" s="30">
        <f>IF(OR($C172="",J$5=""),"",COUNTIFS(tblPresences[Étudiant],$C172,tblPresences[Code matière],J$5,tblPresences[Statut],"A"))</f>
        <v>0</v>
      </c>
      <c r="K172" s="30">
        <f>IF(OR($C172="",K$5=""),"",COUNTIFS(tblPresences[Étudiant],$C172,tblPresences[Code matière],K$5,tblPresences[Statut],"A"))</f>
        <v>0</v>
      </c>
      <c r="L172" s="30">
        <f>IF(OR($C172="",L$5=""),"",COUNTIFS(tblPresences[Étudiant],$C172,tblPresences[Code matière],L$5,tblPresences[Statut],"A"))</f>
        <v>0</v>
      </c>
      <c r="M172" s="30">
        <f>IF(OR($C172="",M$5=""),"",COUNTIFS(tblPresences[Étudiant],$C172,tblPresences[Code matière],M$5,tblPresences[Statut],"A"))</f>
        <v>0</v>
      </c>
      <c r="N172" s="30">
        <f>IF(OR($C172="",N$5=""),"",COUNTIFS(tblPresences[Étudiant],$C172,tblPresences[Code matière],N$5,tblPresences[Statut],"A"))</f>
        <v>0</v>
      </c>
      <c r="O172" s="30">
        <f>IF(OR($C172="",O$5=""),"",COUNTIFS(tblPresences[Étudiant],$C172,tblPresences[Code matière],O$5,tblPresences[Statut],"A"))</f>
        <v>0</v>
      </c>
      <c r="P172" s="30">
        <f>IF(OR($C172="",P$5=""),"",COUNTIFS(tblPresences[Étudiant],$C172,tblPresences[Code matière],P$5,tblPresences[Statut],"A"))</f>
        <v>0</v>
      </c>
      <c r="Q172" s="31">
        <f>IF(C172="","",SUM(E172:P172))</f>
        <v>0</v>
      </c>
      <c r="R172" s="30">
        <f>IF(C172="","",COUNTIFS(tblPresences[Étudiant],C172,tblPresences[Statut],"R"))</f>
        <v>0</v>
      </c>
      <c r="S172" s="124">
        <f>IF(C172="","",IFERROR((COUNTIFS(tblPresences[Étudiant],C172,tblPresences[Statut],"P")+COUNTIFS(tblPresences[Étudiant],C172,tblPresences[Statut],"R"))/COUNTIF(tblPresences[Étudiant],C172),""))</f>
        <v>0</v>
      </c>
      <c r="T172" s="30">
        <f>IF(C172="","",MAX(E172:P172))</f>
        <v>0</v>
      </c>
      <c r="U172" s="148">
        <f>IF(C172="","",IF(T172&gt;pSeuil,"⚠ ALERTE",""))</f>
        <v>0</v>
      </c>
    </row>
    <row r="173" spans="2:21">
      <c r="B173" s="145">
        <f>IF(C173="","",167)</f>
        <v>0</v>
      </c>
      <c r="C173" s="29">
        <f>IFERROR(INDEX(tblEtudiants[Nom et prénoms],167)&amp;"","")</f>
        <v>0</v>
      </c>
      <c r="D173" s="27">
        <f>IF(C173="","",INDEX(tblEtudiants[Groupe],167)&amp;"")</f>
        <v>0</v>
      </c>
      <c r="E173" s="27">
        <f>IF(OR($C173="",E$5=""),"",COUNTIFS(tblPresences[Étudiant],$C173,tblPresences[Code matière],E$5,tblPresences[Statut],"A"))</f>
        <v>0</v>
      </c>
      <c r="F173" s="27">
        <f>IF(OR($C173="",F$5=""),"",COUNTIFS(tblPresences[Étudiant],$C173,tblPresences[Code matière],F$5,tblPresences[Statut],"A"))</f>
        <v>0</v>
      </c>
      <c r="G173" s="27">
        <f>IF(OR($C173="",G$5=""),"",COUNTIFS(tblPresences[Étudiant],$C173,tblPresences[Code matière],G$5,tblPresences[Statut],"A"))</f>
        <v>0</v>
      </c>
      <c r="H173" s="27">
        <f>IF(OR($C173="",H$5=""),"",COUNTIFS(tblPresences[Étudiant],$C173,tblPresences[Code matière],H$5,tblPresences[Statut],"A"))</f>
        <v>0</v>
      </c>
      <c r="I173" s="27">
        <f>IF(OR($C173="",I$5=""),"",COUNTIFS(tblPresences[Étudiant],$C173,tblPresences[Code matière],I$5,tblPresences[Statut],"A"))</f>
        <v>0</v>
      </c>
      <c r="J173" s="27">
        <f>IF(OR($C173="",J$5=""),"",COUNTIFS(tblPresences[Étudiant],$C173,tblPresences[Code matière],J$5,tblPresences[Statut],"A"))</f>
        <v>0</v>
      </c>
      <c r="K173" s="27">
        <f>IF(OR($C173="",K$5=""),"",COUNTIFS(tblPresences[Étudiant],$C173,tblPresences[Code matière],K$5,tblPresences[Statut],"A"))</f>
        <v>0</v>
      </c>
      <c r="L173" s="27">
        <f>IF(OR($C173="",L$5=""),"",COUNTIFS(tblPresences[Étudiant],$C173,tblPresences[Code matière],L$5,tblPresences[Statut],"A"))</f>
        <v>0</v>
      </c>
      <c r="M173" s="27">
        <f>IF(OR($C173="",M$5=""),"",COUNTIFS(tblPresences[Étudiant],$C173,tblPresences[Code matière],M$5,tblPresences[Statut],"A"))</f>
        <v>0</v>
      </c>
      <c r="N173" s="27">
        <f>IF(OR($C173="",N$5=""),"",COUNTIFS(tblPresences[Étudiant],$C173,tblPresences[Code matière],N$5,tblPresences[Statut],"A"))</f>
        <v>0</v>
      </c>
      <c r="O173" s="27">
        <f>IF(OR($C173="",O$5=""),"",COUNTIFS(tblPresences[Étudiant],$C173,tblPresences[Code matière],O$5,tblPresences[Statut],"A"))</f>
        <v>0</v>
      </c>
      <c r="P173" s="27">
        <f>IF(OR($C173="",P$5=""),"",COUNTIFS(tblPresences[Étudiant],$C173,tblPresences[Code matière],P$5,tblPresences[Statut],"A"))</f>
        <v>0</v>
      </c>
      <c r="Q173" s="28">
        <f>IF(C173="","",SUM(E173:P173))</f>
        <v>0</v>
      </c>
      <c r="R173" s="27">
        <f>IF(C173="","",COUNTIFS(tblPresences[Étudiant],C173,tblPresences[Statut],"R"))</f>
        <v>0</v>
      </c>
      <c r="S173" s="123">
        <f>IF(C173="","",IFERROR((COUNTIFS(tblPresences[Étudiant],C173,tblPresences[Statut],"P")+COUNTIFS(tblPresences[Étudiant],C173,tblPresences[Statut],"R"))/COUNTIF(tblPresences[Étudiant],C173),""))</f>
        <v>0</v>
      </c>
      <c r="T173" s="27">
        <f>IF(C173="","",MAX(E173:P173))</f>
        <v>0</v>
      </c>
      <c r="U173" s="146">
        <f>IF(C173="","",IF(T173&gt;pSeuil,"⚠ ALERTE",""))</f>
        <v>0</v>
      </c>
    </row>
    <row r="174" spans="2:21">
      <c r="B174" s="147">
        <f>IF(C174="","",168)</f>
        <v>0</v>
      </c>
      <c r="C174" s="32">
        <f>IFERROR(INDEX(tblEtudiants[Nom et prénoms],168)&amp;"","")</f>
        <v>0</v>
      </c>
      <c r="D174" s="30">
        <f>IF(C174="","",INDEX(tblEtudiants[Groupe],168)&amp;"")</f>
        <v>0</v>
      </c>
      <c r="E174" s="30">
        <f>IF(OR($C174="",E$5=""),"",COUNTIFS(tblPresences[Étudiant],$C174,tblPresences[Code matière],E$5,tblPresences[Statut],"A"))</f>
        <v>0</v>
      </c>
      <c r="F174" s="30">
        <f>IF(OR($C174="",F$5=""),"",COUNTIFS(tblPresences[Étudiant],$C174,tblPresences[Code matière],F$5,tblPresences[Statut],"A"))</f>
        <v>0</v>
      </c>
      <c r="G174" s="30">
        <f>IF(OR($C174="",G$5=""),"",COUNTIFS(tblPresences[Étudiant],$C174,tblPresences[Code matière],G$5,tblPresences[Statut],"A"))</f>
        <v>0</v>
      </c>
      <c r="H174" s="30">
        <f>IF(OR($C174="",H$5=""),"",COUNTIFS(tblPresences[Étudiant],$C174,tblPresences[Code matière],H$5,tblPresences[Statut],"A"))</f>
        <v>0</v>
      </c>
      <c r="I174" s="30">
        <f>IF(OR($C174="",I$5=""),"",COUNTIFS(tblPresences[Étudiant],$C174,tblPresences[Code matière],I$5,tblPresences[Statut],"A"))</f>
        <v>0</v>
      </c>
      <c r="J174" s="30">
        <f>IF(OR($C174="",J$5=""),"",COUNTIFS(tblPresences[Étudiant],$C174,tblPresences[Code matière],J$5,tblPresences[Statut],"A"))</f>
        <v>0</v>
      </c>
      <c r="K174" s="30">
        <f>IF(OR($C174="",K$5=""),"",COUNTIFS(tblPresences[Étudiant],$C174,tblPresences[Code matière],K$5,tblPresences[Statut],"A"))</f>
        <v>0</v>
      </c>
      <c r="L174" s="30">
        <f>IF(OR($C174="",L$5=""),"",COUNTIFS(tblPresences[Étudiant],$C174,tblPresences[Code matière],L$5,tblPresences[Statut],"A"))</f>
        <v>0</v>
      </c>
      <c r="M174" s="30">
        <f>IF(OR($C174="",M$5=""),"",COUNTIFS(tblPresences[Étudiant],$C174,tblPresences[Code matière],M$5,tblPresences[Statut],"A"))</f>
        <v>0</v>
      </c>
      <c r="N174" s="30">
        <f>IF(OR($C174="",N$5=""),"",COUNTIFS(tblPresences[Étudiant],$C174,tblPresences[Code matière],N$5,tblPresences[Statut],"A"))</f>
        <v>0</v>
      </c>
      <c r="O174" s="30">
        <f>IF(OR($C174="",O$5=""),"",COUNTIFS(tblPresences[Étudiant],$C174,tblPresences[Code matière],O$5,tblPresences[Statut],"A"))</f>
        <v>0</v>
      </c>
      <c r="P174" s="30">
        <f>IF(OR($C174="",P$5=""),"",COUNTIFS(tblPresences[Étudiant],$C174,tblPresences[Code matière],P$5,tblPresences[Statut],"A"))</f>
        <v>0</v>
      </c>
      <c r="Q174" s="31">
        <f>IF(C174="","",SUM(E174:P174))</f>
        <v>0</v>
      </c>
      <c r="R174" s="30">
        <f>IF(C174="","",COUNTIFS(tblPresences[Étudiant],C174,tblPresences[Statut],"R"))</f>
        <v>0</v>
      </c>
      <c r="S174" s="124">
        <f>IF(C174="","",IFERROR((COUNTIFS(tblPresences[Étudiant],C174,tblPresences[Statut],"P")+COUNTIFS(tblPresences[Étudiant],C174,tblPresences[Statut],"R"))/COUNTIF(tblPresences[Étudiant],C174),""))</f>
        <v>0</v>
      </c>
      <c r="T174" s="30">
        <f>IF(C174="","",MAX(E174:P174))</f>
        <v>0</v>
      </c>
      <c r="U174" s="148">
        <f>IF(C174="","",IF(T174&gt;pSeuil,"⚠ ALERTE",""))</f>
        <v>0</v>
      </c>
    </row>
    <row r="175" spans="2:21">
      <c r="B175" s="145">
        <f>IF(C175="","",169)</f>
        <v>0</v>
      </c>
      <c r="C175" s="29">
        <f>IFERROR(INDEX(tblEtudiants[Nom et prénoms],169)&amp;"","")</f>
        <v>0</v>
      </c>
      <c r="D175" s="27">
        <f>IF(C175="","",INDEX(tblEtudiants[Groupe],169)&amp;"")</f>
        <v>0</v>
      </c>
      <c r="E175" s="27">
        <f>IF(OR($C175="",E$5=""),"",COUNTIFS(tblPresences[Étudiant],$C175,tblPresences[Code matière],E$5,tblPresences[Statut],"A"))</f>
        <v>0</v>
      </c>
      <c r="F175" s="27">
        <f>IF(OR($C175="",F$5=""),"",COUNTIFS(tblPresences[Étudiant],$C175,tblPresences[Code matière],F$5,tblPresences[Statut],"A"))</f>
        <v>0</v>
      </c>
      <c r="G175" s="27">
        <f>IF(OR($C175="",G$5=""),"",COUNTIFS(tblPresences[Étudiant],$C175,tblPresences[Code matière],G$5,tblPresences[Statut],"A"))</f>
        <v>0</v>
      </c>
      <c r="H175" s="27">
        <f>IF(OR($C175="",H$5=""),"",COUNTIFS(tblPresences[Étudiant],$C175,tblPresences[Code matière],H$5,tblPresences[Statut],"A"))</f>
        <v>0</v>
      </c>
      <c r="I175" s="27">
        <f>IF(OR($C175="",I$5=""),"",COUNTIFS(tblPresences[Étudiant],$C175,tblPresences[Code matière],I$5,tblPresences[Statut],"A"))</f>
        <v>0</v>
      </c>
      <c r="J175" s="27">
        <f>IF(OR($C175="",J$5=""),"",COUNTIFS(tblPresences[Étudiant],$C175,tblPresences[Code matière],J$5,tblPresences[Statut],"A"))</f>
        <v>0</v>
      </c>
      <c r="K175" s="27">
        <f>IF(OR($C175="",K$5=""),"",COUNTIFS(tblPresences[Étudiant],$C175,tblPresences[Code matière],K$5,tblPresences[Statut],"A"))</f>
        <v>0</v>
      </c>
      <c r="L175" s="27">
        <f>IF(OR($C175="",L$5=""),"",COUNTIFS(tblPresences[Étudiant],$C175,tblPresences[Code matière],L$5,tblPresences[Statut],"A"))</f>
        <v>0</v>
      </c>
      <c r="M175" s="27">
        <f>IF(OR($C175="",M$5=""),"",COUNTIFS(tblPresences[Étudiant],$C175,tblPresences[Code matière],M$5,tblPresences[Statut],"A"))</f>
        <v>0</v>
      </c>
      <c r="N175" s="27">
        <f>IF(OR($C175="",N$5=""),"",COUNTIFS(tblPresences[Étudiant],$C175,tblPresences[Code matière],N$5,tblPresences[Statut],"A"))</f>
        <v>0</v>
      </c>
      <c r="O175" s="27">
        <f>IF(OR($C175="",O$5=""),"",COUNTIFS(tblPresences[Étudiant],$C175,tblPresences[Code matière],O$5,tblPresences[Statut],"A"))</f>
        <v>0</v>
      </c>
      <c r="P175" s="27">
        <f>IF(OR($C175="",P$5=""),"",COUNTIFS(tblPresences[Étudiant],$C175,tblPresences[Code matière],P$5,tblPresences[Statut],"A"))</f>
        <v>0</v>
      </c>
      <c r="Q175" s="28">
        <f>IF(C175="","",SUM(E175:P175))</f>
        <v>0</v>
      </c>
      <c r="R175" s="27">
        <f>IF(C175="","",COUNTIFS(tblPresences[Étudiant],C175,tblPresences[Statut],"R"))</f>
        <v>0</v>
      </c>
      <c r="S175" s="123">
        <f>IF(C175="","",IFERROR((COUNTIFS(tblPresences[Étudiant],C175,tblPresences[Statut],"P")+COUNTIFS(tblPresences[Étudiant],C175,tblPresences[Statut],"R"))/COUNTIF(tblPresences[Étudiant],C175),""))</f>
        <v>0</v>
      </c>
      <c r="T175" s="27">
        <f>IF(C175="","",MAX(E175:P175))</f>
        <v>0</v>
      </c>
      <c r="U175" s="146">
        <f>IF(C175="","",IF(T175&gt;pSeuil,"⚠ ALERTE",""))</f>
        <v>0</v>
      </c>
    </row>
    <row r="176" spans="2:21">
      <c r="B176" s="147">
        <f>IF(C176="","",170)</f>
        <v>0</v>
      </c>
      <c r="C176" s="32">
        <f>IFERROR(INDEX(tblEtudiants[Nom et prénoms],170)&amp;"","")</f>
        <v>0</v>
      </c>
      <c r="D176" s="30">
        <f>IF(C176="","",INDEX(tblEtudiants[Groupe],170)&amp;"")</f>
        <v>0</v>
      </c>
      <c r="E176" s="30">
        <f>IF(OR($C176="",E$5=""),"",COUNTIFS(tblPresences[Étudiant],$C176,tblPresences[Code matière],E$5,tblPresences[Statut],"A"))</f>
        <v>0</v>
      </c>
      <c r="F176" s="30">
        <f>IF(OR($C176="",F$5=""),"",COUNTIFS(tblPresences[Étudiant],$C176,tblPresences[Code matière],F$5,tblPresences[Statut],"A"))</f>
        <v>0</v>
      </c>
      <c r="G176" s="30">
        <f>IF(OR($C176="",G$5=""),"",COUNTIFS(tblPresences[Étudiant],$C176,tblPresences[Code matière],G$5,tblPresences[Statut],"A"))</f>
        <v>0</v>
      </c>
      <c r="H176" s="30">
        <f>IF(OR($C176="",H$5=""),"",COUNTIFS(tblPresences[Étudiant],$C176,tblPresences[Code matière],H$5,tblPresences[Statut],"A"))</f>
        <v>0</v>
      </c>
      <c r="I176" s="30">
        <f>IF(OR($C176="",I$5=""),"",COUNTIFS(tblPresences[Étudiant],$C176,tblPresences[Code matière],I$5,tblPresences[Statut],"A"))</f>
        <v>0</v>
      </c>
      <c r="J176" s="30">
        <f>IF(OR($C176="",J$5=""),"",COUNTIFS(tblPresences[Étudiant],$C176,tblPresences[Code matière],J$5,tblPresences[Statut],"A"))</f>
        <v>0</v>
      </c>
      <c r="K176" s="30">
        <f>IF(OR($C176="",K$5=""),"",COUNTIFS(tblPresences[Étudiant],$C176,tblPresences[Code matière],K$5,tblPresences[Statut],"A"))</f>
        <v>0</v>
      </c>
      <c r="L176" s="30">
        <f>IF(OR($C176="",L$5=""),"",COUNTIFS(tblPresences[Étudiant],$C176,tblPresences[Code matière],L$5,tblPresences[Statut],"A"))</f>
        <v>0</v>
      </c>
      <c r="M176" s="30">
        <f>IF(OR($C176="",M$5=""),"",COUNTIFS(tblPresences[Étudiant],$C176,tblPresences[Code matière],M$5,tblPresences[Statut],"A"))</f>
        <v>0</v>
      </c>
      <c r="N176" s="30">
        <f>IF(OR($C176="",N$5=""),"",COUNTIFS(tblPresences[Étudiant],$C176,tblPresences[Code matière],N$5,tblPresences[Statut],"A"))</f>
        <v>0</v>
      </c>
      <c r="O176" s="30">
        <f>IF(OR($C176="",O$5=""),"",COUNTIFS(tblPresences[Étudiant],$C176,tblPresences[Code matière],O$5,tblPresences[Statut],"A"))</f>
        <v>0</v>
      </c>
      <c r="P176" s="30">
        <f>IF(OR($C176="",P$5=""),"",COUNTIFS(tblPresences[Étudiant],$C176,tblPresences[Code matière],P$5,tblPresences[Statut],"A"))</f>
        <v>0</v>
      </c>
      <c r="Q176" s="31">
        <f>IF(C176="","",SUM(E176:P176))</f>
        <v>0</v>
      </c>
      <c r="R176" s="30">
        <f>IF(C176="","",COUNTIFS(tblPresences[Étudiant],C176,tblPresences[Statut],"R"))</f>
        <v>0</v>
      </c>
      <c r="S176" s="124">
        <f>IF(C176="","",IFERROR((COUNTIFS(tblPresences[Étudiant],C176,tblPresences[Statut],"P")+COUNTIFS(tblPresences[Étudiant],C176,tblPresences[Statut],"R"))/COUNTIF(tblPresences[Étudiant],C176),""))</f>
        <v>0</v>
      </c>
      <c r="T176" s="30">
        <f>IF(C176="","",MAX(E176:P176))</f>
        <v>0</v>
      </c>
      <c r="U176" s="148">
        <f>IF(C176="","",IF(T176&gt;pSeuil,"⚠ ALERTE",""))</f>
        <v>0</v>
      </c>
    </row>
    <row r="177" spans="2:21">
      <c r="B177" s="145">
        <f>IF(C177="","",171)</f>
        <v>0</v>
      </c>
      <c r="C177" s="29">
        <f>IFERROR(INDEX(tblEtudiants[Nom et prénoms],171)&amp;"","")</f>
        <v>0</v>
      </c>
      <c r="D177" s="27">
        <f>IF(C177="","",INDEX(tblEtudiants[Groupe],171)&amp;"")</f>
        <v>0</v>
      </c>
      <c r="E177" s="27">
        <f>IF(OR($C177="",E$5=""),"",COUNTIFS(tblPresences[Étudiant],$C177,tblPresences[Code matière],E$5,tblPresences[Statut],"A"))</f>
        <v>0</v>
      </c>
      <c r="F177" s="27">
        <f>IF(OR($C177="",F$5=""),"",COUNTIFS(tblPresences[Étudiant],$C177,tblPresences[Code matière],F$5,tblPresences[Statut],"A"))</f>
        <v>0</v>
      </c>
      <c r="G177" s="27">
        <f>IF(OR($C177="",G$5=""),"",COUNTIFS(tblPresences[Étudiant],$C177,tblPresences[Code matière],G$5,tblPresences[Statut],"A"))</f>
        <v>0</v>
      </c>
      <c r="H177" s="27">
        <f>IF(OR($C177="",H$5=""),"",COUNTIFS(tblPresences[Étudiant],$C177,tblPresences[Code matière],H$5,tblPresences[Statut],"A"))</f>
        <v>0</v>
      </c>
      <c r="I177" s="27">
        <f>IF(OR($C177="",I$5=""),"",COUNTIFS(tblPresences[Étudiant],$C177,tblPresences[Code matière],I$5,tblPresences[Statut],"A"))</f>
        <v>0</v>
      </c>
      <c r="J177" s="27">
        <f>IF(OR($C177="",J$5=""),"",COUNTIFS(tblPresences[Étudiant],$C177,tblPresences[Code matière],J$5,tblPresences[Statut],"A"))</f>
        <v>0</v>
      </c>
      <c r="K177" s="27">
        <f>IF(OR($C177="",K$5=""),"",COUNTIFS(tblPresences[Étudiant],$C177,tblPresences[Code matière],K$5,tblPresences[Statut],"A"))</f>
        <v>0</v>
      </c>
      <c r="L177" s="27">
        <f>IF(OR($C177="",L$5=""),"",COUNTIFS(tblPresences[Étudiant],$C177,tblPresences[Code matière],L$5,tblPresences[Statut],"A"))</f>
        <v>0</v>
      </c>
      <c r="M177" s="27">
        <f>IF(OR($C177="",M$5=""),"",COUNTIFS(tblPresences[Étudiant],$C177,tblPresences[Code matière],M$5,tblPresences[Statut],"A"))</f>
        <v>0</v>
      </c>
      <c r="N177" s="27">
        <f>IF(OR($C177="",N$5=""),"",COUNTIFS(tblPresences[Étudiant],$C177,tblPresences[Code matière],N$5,tblPresences[Statut],"A"))</f>
        <v>0</v>
      </c>
      <c r="O177" s="27">
        <f>IF(OR($C177="",O$5=""),"",COUNTIFS(tblPresences[Étudiant],$C177,tblPresences[Code matière],O$5,tblPresences[Statut],"A"))</f>
        <v>0</v>
      </c>
      <c r="P177" s="27">
        <f>IF(OR($C177="",P$5=""),"",COUNTIFS(tblPresences[Étudiant],$C177,tblPresences[Code matière],P$5,tblPresences[Statut],"A"))</f>
        <v>0</v>
      </c>
      <c r="Q177" s="28">
        <f>IF(C177="","",SUM(E177:P177))</f>
        <v>0</v>
      </c>
      <c r="R177" s="27">
        <f>IF(C177="","",COUNTIFS(tblPresences[Étudiant],C177,tblPresences[Statut],"R"))</f>
        <v>0</v>
      </c>
      <c r="S177" s="123">
        <f>IF(C177="","",IFERROR((COUNTIFS(tblPresences[Étudiant],C177,tblPresences[Statut],"P")+COUNTIFS(tblPresences[Étudiant],C177,tblPresences[Statut],"R"))/COUNTIF(tblPresences[Étudiant],C177),""))</f>
        <v>0</v>
      </c>
      <c r="T177" s="27">
        <f>IF(C177="","",MAX(E177:P177))</f>
        <v>0</v>
      </c>
      <c r="U177" s="146">
        <f>IF(C177="","",IF(T177&gt;pSeuil,"⚠ ALERTE",""))</f>
        <v>0</v>
      </c>
    </row>
    <row r="178" spans="2:21">
      <c r="B178" s="147">
        <f>IF(C178="","",172)</f>
        <v>0</v>
      </c>
      <c r="C178" s="32">
        <f>IFERROR(INDEX(tblEtudiants[Nom et prénoms],172)&amp;"","")</f>
        <v>0</v>
      </c>
      <c r="D178" s="30">
        <f>IF(C178="","",INDEX(tblEtudiants[Groupe],172)&amp;"")</f>
        <v>0</v>
      </c>
      <c r="E178" s="30">
        <f>IF(OR($C178="",E$5=""),"",COUNTIFS(tblPresences[Étudiant],$C178,tblPresences[Code matière],E$5,tblPresences[Statut],"A"))</f>
        <v>0</v>
      </c>
      <c r="F178" s="30">
        <f>IF(OR($C178="",F$5=""),"",COUNTIFS(tblPresences[Étudiant],$C178,tblPresences[Code matière],F$5,tblPresences[Statut],"A"))</f>
        <v>0</v>
      </c>
      <c r="G178" s="30">
        <f>IF(OR($C178="",G$5=""),"",COUNTIFS(tblPresences[Étudiant],$C178,tblPresences[Code matière],G$5,tblPresences[Statut],"A"))</f>
        <v>0</v>
      </c>
      <c r="H178" s="30">
        <f>IF(OR($C178="",H$5=""),"",COUNTIFS(tblPresences[Étudiant],$C178,tblPresences[Code matière],H$5,tblPresences[Statut],"A"))</f>
        <v>0</v>
      </c>
      <c r="I178" s="30">
        <f>IF(OR($C178="",I$5=""),"",COUNTIFS(tblPresences[Étudiant],$C178,tblPresences[Code matière],I$5,tblPresences[Statut],"A"))</f>
        <v>0</v>
      </c>
      <c r="J178" s="30">
        <f>IF(OR($C178="",J$5=""),"",COUNTIFS(tblPresences[Étudiant],$C178,tblPresences[Code matière],J$5,tblPresences[Statut],"A"))</f>
        <v>0</v>
      </c>
      <c r="K178" s="30">
        <f>IF(OR($C178="",K$5=""),"",COUNTIFS(tblPresences[Étudiant],$C178,tblPresences[Code matière],K$5,tblPresences[Statut],"A"))</f>
        <v>0</v>
      </c>
      <c r="L178" s="30">
        <f>IF(OR($C178="",L$5=""),"",COUNTIFS(tblPresences[Étudiant],$C178,tblPresences[Code matière],L$5,tblPresences[Statut],"A"))</f>
        <v>0</v>
      </c>
      <c r="M178" s="30">
        <f>IF(OR($C178="",M$5=""),"",COUNTIFS(tblPresences[Étudiant],$C178,tblPresences[Code matière],M$5,tblPresences[Statut],"A"))</f>
        <v>0</v>
      </c>
      <c r="N178" s="30">
        <f>IF(OR($C178="",N$5=""),"",COUNTIFS(tblPresences[Étudiant],$C178,tblPresences[Code matière],N$5,tblPresences[Statut],"A"))</f>
        <v>0</v>
      </c>
      <c r="O178" s="30">
        <f>IF(OR($C178="",O$5=""),"",COUNTIFS(tblPresences[Étudiant],$C178,tblPresences[Code matière],O$5,tblPresences[Statut],"A"))</f>
        <v>0</v>
      </c>
      <c r="P178" s="30">
        <f>IF(OR($C178="",P$5=""),"",COUNTIFS(tblPresences[Étudiant],$C178,tblPresences[Code matière],P$5,tblPresences[Statut],"A"))</f>
        <v>0</v>
      </c>
      <c r="Q178" s="31">
        <f>IF(C178="","",SUM(E178:P178))</f>
        <v>0</v>
      </c>
      <c r="R178" s="30">
        <f>IF(C178="","",COUNTIFS(tblPresences[Étudiant],C178,tblPresences[Statut],"R"))</f>
        <v>0</v>
      </c>
      <c r="S178" s="124">
        <f>IF(C178="","",IFERROR((COUNTIFS(tblPresences[Étudiant],C178,tblPresences[Statut],"P")+COUNTIFS(tblPresences[Étudiant],C178,tblPresences[Statut],"R"))/COUNTIF(tblPresences[Étudiant],C178),""))</f>
        <v>0</v>
      </c>
      <c r="T178" s="30">
        <f>IF(C178="","",MAX(E178:P178))</f>
        <v>0</v>
      </c>
      <c r="U178" s="148">
        <f>IF(C178="","",IF(T178&gt;pSeuil,"⚠ ALERTE",""))</f>
        <v>0</v>
      </c>
    </row>
    <row r="179" spans="2:21">
      <c r="B179" s="145">
        <f>IF(C179="","",173)</f>
        <v>0</v>
      </c>
      <c r="C179" s="29">
        <f>IFERROR(INDEX(tblEtudiants[Nom et prénoms],173)&amp;"","")</f>
        <v>0</v>
      </c>
      <c r="D179" s="27">
        <f>IF(C179="","",INDEX(tblEtudiants[Groupe],173)&amp;"")</f>
        <v>0</v>
      </c>
      <c r="E179" s="27">
        <f>IF(OR($C179="",E$5=""),"",COUNTIFS(tblPresences[Étudiant],$C179,tblPresences[Code matière],E$5,tblPresences[Statut],"A"))</f>
        <v>0</v>
      </c>
      <c r="F179" s="27">
        <f>IF(OR($C179="",F$5=""),"",COUNTIFS(tblPresences[Étudiant],$C179,tblPresences[Code matière],F$5,tblPresences[Statut],"A"))</f>
        <v>0</v>
      </c>
      <c r="G179" s="27">
        <f>IF(OR($C179="",G$5=""),"",COUNTIFS(tblPresences[Étudiant],$C179,tblPresences[Code matière],G$5,tblPresences[Statut],"A"))</f>
        <v>0</v>
      </c>
      <c r="H179" s="27">
        <f>IF(OR($C179="",H$5=""),"",COUNTIFS(tblPresences[Étudiant],$C179,tblPresences[Code matière],H$5,tblPresences[Statut],"A"))</f>
        <v>0</v>
      </c>
      <c r="I179" s="27">
        <f>IF(OR($C179="",I$5=""),"",COUNTIFS(tblPresences[Étudiant],$C179,tblPresences[Code matière],I$5,tblPresences[Statut],"A"))</f>
        <v>0</v>
      </c>
      <c r="J179" s="27">
        <f>IF(OR($C179="",J$5=""),"",COUNTIFS(tblPresences[Étudiant],$C179,tblPresences[Code matière],J$5,tblPresences[Statut],"A"))</f>
        <v>0</v>
      </c>
      <c r="K179" s="27">
        <f>IF(OR($C179="",K$5=""),"",COUNTIFS(tblPresences[Étudiant],$C179,tblPresences[Code matière],K$5,tblPresences[Statut],"A"))</f>
        <v>0</v>
      </c>
      <c r="L179" s="27">
        <f>IF(OR($C179="",L$5=""),"",COUNTIFS(tblPresences[Étudiant],$C179,tblPresences[Code matière],L$5,tblPresences[Statut],"A"))</f>
        <v>0</v>
      </c>
      <c r="M179" s="27">
        <f>IF(OR($C179="",M$5=""),"",COUNTIFS(tblPresences[Étudiant],$C179,tblPresences[Code matière],M$5,tblPresences[Statut],"A"))</f>
        <v>0</v>
      </c>
      <c r="N179" s="27">
        <f>IF(OR($C179="",N$5=""),"",COUNTIFS(tblPresences[Étudiant],$C179,tblPresences[Code matière],N$5,tblPresences[Statut],"A"))</f>
        <v>0</v>
      </c>
      <c r="O179" s="27">
        <f>IF(OR($C179="",O$5=""),"",COUNTIFS(tblPresences[Étudiant],$C179,tblPresences[Code matière],O$5,tblPresences[Statut],"A"))</f>
        <v>0</v>
      </c>
      <c r="P179" s="27">
        <f>IF(OR($C179="",P$5=""),"",COUNTIFS(tblPresences[Étudiant],$C179,tblPresences[Code matière],P$5,tblPresences[Statut],"A"))</f>
        <v>0</v>
      </c>
      <c r="Q179" s="28">
        <f>IF(C179="","",SUM(E179:P179))</f>
        <v>0</v>
      </c>
      <c r="R179" s="27">
        <f>IF(C179="","",COUNTIFS(tblPresences[Étudiant],C179,tblPresences[Statut],"R"))</f>
        <v>0</v>
      </c>
      <c r="S179" s="123">
        <f>IF(C179="","",IFERROR((COUNTIFS(tblPresences[Étudiant],C179,tblPresences[Statut],"P")+COUNTIFS(tblPresences[Étudiant],C179,tblPresences[Statut],"R"))/COUNTIF(tblPresences[Étudiant],C179),""))</f>
        <v>0</v>
      </c>
      <c r="T179" s="27">
        <f>IF(C179="","",MAX(E179:P179))</f>
        <v>0</v>
      </c>
      <c r="U179" s="146">
        <f>IF(C179="","",IF(T179&gt;pSeuil,"⚠ ALERTE",""))</f>
        <v>0</v>
      </c>
    </row>
    <row r="180" spans="2:21">
      <c r="B180" s="147">
        <f>IF(C180="","",174)</f>
        <v>0</v>
      </c>
      <c r="C180" s="32">
        <f>IFERROR(INDEX(tblEtudiants[Nom et prénoms],174)&amp;"","")</f>
        <v>0</v>
      </c>
      <c r="D180" s="30">
        <f>IF(C180="","",INDEX(tblEtudiants[Groupe],174)&amp;"")</f>
        <v>0</v>
      </c>
      <c r="E180" s="30">
        <f>IF(OR($C180="",E$5=""),"",COUNTIFS(tblPresences[Étudiant],$C180,tblPresences[Code matière],E$5,tblPresences[Statut],"A"))</f>
        <v>0</v>
      </c>
      <c r="F180" s="30">
        <f>IF(OR($C180="",F$5=""),"",COUNTIFS(tblPresences[Étudiant],$C180,tblPresences[Code matière],F$5,tblPresences[Statut],"A"))</f>
        <v>0</v>
      </c>
      <c r="G180" s="30">
        <f>IF(OR($C180="",G$5=""),"",COUNTIFS(tblPresences[Étudiant],$C180,tblPresences[Code matière],G$5,tblPresences[Statut],"A"))</f>
        <v>0</v>
      </c>
      <c r="H180" s="30">
        <f>IF(OR($C180="",H$5=""),"",COUNTIFS(tblPresences[Étudiant],$C180,tblPresences[Code matière],H$5,tblPresences[Statut],"A"))</f>
        <v>0</v>
      </c>
      <c r="I180" s="30">
        <f>IF(OR($C180="",I$5=""),"",COUNTIFS(tblPresences[Étudiant],$C180,tblPresences[Code matière],I$5,tblPresences[Statut],"A"))</f>
        <v>0</v>
      </c>
      <c r="J180" s="30">
        <f>IF(OR($C180="",J$5=""),"",COUNTIFS(tblPresences[Étudiant],$C180,tblPresences[Code matière],J$5,tblPresences[Statut],"A"))</f>
        <v>0</v>
      </c>
      <c r="K180" s="30">
        <f>IF(OR($C180="",K$5=""),"",COUNTIFS(tblPresences[Étudiant],$C180,tblPresences[Code matière],K$5,tblPresences[Statut],"A"))</f>
        <v>0</v>
      </c>
      <c r="L180" s="30">
        <f>IF(OR($C180="",L$5=""),"",COUNTIFS(tblPresences[Étudiant],$C180,tblPresences[Code matière],L$5,tblPresences[Statut],"A"))</f>
        <v>0</v>
      </c>
      <c r="M180" s="30">
        <f>IF(OR($C180="",M$5=""),"",COUNTIFS(tblPresences[Étudiant],$C180,tblPresences[Code matière],M$5,tblPresences[Statut],"A"))</f>
        <v>0</v>
      </c>
      <c r="N180" s="30">
        <f>IF(OR($C180="",N$5=""),"",COUNTIFS(tblPresences[Étudiant],$C180,tblPresences[Code matière],N$5,tblPresences[Statut],"A"))</f>
        <v>0</v>
      </c>
      <c r="O180" s="30">
        <f>IF(OR($C180="",O$5=""),"",COUNTIFS(tblPresences[Étudiant],$C180,tblPresences[Code matière],O$5,tblPresences[Statut],"A"))</f>
        <v>0</v>
      </c>
      <c r="P180" s="30">
        <f>IF(OR($C180="",P$5=""),"",COUNTIFS(tblPresences[Étudiant],$C180,tblPresences[Code matière],P$5,tblPresences[Statut],"A"))</f>
        <v>0</v>
      </c>
      <c r="Q180" s="31">
        <f>IF(C180="","",SUM(E180:P180))</f>
        <v>0</v>
      </c>
      <c r="R180" s="30">
        <f>IF(C180="","",COUNTIFS(tblPresences[Étudiant],C180,tblPresences[Statut],"R"))</f>
        <v>0</v>
      </c>
      <c r="S180" s="124">
        <f>IF(C180="","",IFERROR((COUNTIFS(tblPresences[Étudiant],C180,tblPresences[Statut],"P")+COUNTIFS(tblPresences[Étudiant],C180,tblPresences[Statut],"R"))/COUNTIF(tblPresences[Étudiant],C180),""))</f>
        <v>0</v>
      </c>
      <c r="T180" s="30">
        <f>IF(C180="","",MAX(E180:P180))</f>
        <v>0</v>
      </c>
      <c r="U180" s="148">
        <f>IF(C180="","",IF(T180&gt;pSeuil,"⚠ ALERTE",""))</f>
        <v>0</v>
      </c>
    </row>
    <row r="181" spans="2:21">
      <c r="B181" s="145">
        <f>IF(C181="","",175)</f>
        <v>0</v>
      </c>
      <c r="C181" s="29">
        <f>IFERROR(INDEX(tblEtudiants[Nom et prénoms],175)&amp;"","")</f>
        <v>0</v>
      </c>
      <c r="D181" s="27">
        <f>IF(C181="","",INDEX(tblEtudiants[Groupe],175)&amp;"")</f>
        <v>0</v>
      </c>
      <c r="E181" s="27">
        <f>IF(OR($C181="",E$5=""),"",COUNTIFS(tblPresences[Étudiant],$C181,tblPresences[Code matière],E$5,tblPresences[Statut],"A"))</f>
        <v>0</v>
      </c>
      <c r="F181" s="27">
        <f>IF(OR($C181="",F$5=""),"",COUNTIFS(tblPresences[Étudiant],$C181,tblPresences[Code matière],F$5,tblPresences[Statut],"A"))</f>
        <v>0</v>
      </c>
      <c r="G181" s="27">
        <f>IF(OR($C181="",G$5=""),"",COUNTIFS(tblPresences[Étudiant],$C181,tblPresences[Code matière],G$5,tblPresences[Statut],"A"))</f>
        <v>0</v>
      </c>
      <c r="H181" s="27">
        <f>IF(OR($C181="",H$5=""),"",COUNTIFS(tblPresences[Étudiant],$C181,tblPresences[Code matière],H$5,tblPresences[Statut],"A"))</f>
        <v>0</v>
      </c>
      <c r="I181" s="27">
        <f>IF(OR($C181="",I$5=""),"",COUNTIFS(tblPresences[Étudiant],$C181,tblPresences[Code matière],I$5,tblPresences[Statut],"A"))</f>
        <v>0</v>
      </c>
      <c r="J181" s="27">
        <f>IF(OR($C181="",J$5=""),"",COUNTIFS(tblPresences[Étudiant],$C181,tblPresences[Code matière],J$5,tblPresences[Statut],"A"))</f>
        <v>0</v>
      </c>
      <c r="K181" s="27">
        <f>IF(OR($C181="",K$5=""),"",COUNTIFS(tblPresences[Étudiant],$C181,tblPresences[Code matière],K$5,tblPresences[Statut],"A"))</f>
        <v>0</v>
      </c>
      <c r="L181" s="27">
        <f>IF(OR($C181="",L$5=""),"",COUNTIFS(tblPresences[Étudiant],$C181,tblPresences[Code matière],L$5,tblPresences[Statut],"A"))</f>
        <v>0</v>
      </c>
      <c r="M181" s="27">
        <f>IF(OR($C181="",M$5=""),"",COUNTIFS(tblPresences[Étudiant],$C181,tblPresences[Code matière],M$5,tblPresences[Statut],"A"))</f>
        <v>0</v>
      </c>
      <c r="N181" s="27">
        <f>IF(OR($C181="",N$5=""),"",COUNTIFS(tblPresences[Étudiant],$C181,tblPresences[Code matière],N$5,tblPresences[Statut],"A"))</f>
        <v>0</v>
      </c>
      <c r="O181" s="27">
        <f>IF(OR($C181="",O$5=""),"",COUNTIFS(tblPresences[Étudiant],$C181,tblPresences[Code matière],O$5,tblPresences[Statut],"A"))</f>
        <v>0</v>
      </c>
      <c r="P181" s="27">
        <f>IF(OR($C181="",P$5=""),"",COUNTIFS(tblPresences[Étudiant],$C181,tblPresences[Code matière],P$5,tblPresences[Statut],"A"))</f>
        <v>0</v>
      </c>
      <c r="Q181" s="28">
        <f>IF(C181="","",SUM(E181:P181))</f>
        <v>0</v>
      </c>
      <c r="R181" s="27">
        <f>IF(C181="","",COUNTIFS(tblPresences[Étudiant],C181,tblPresences[Statut],"R"))</f>
        <v>0</v>
      </c>
      <c r="S181" s="123">
        <f>IF(C181="","",IFERROR((COUNTIFS(tblPresences[Étudiant],C181,tblPresences[Statut],"P")+COUNTIFS(tblPresences[Étudiant],C181,tblPresences[Statut],"R"))/COUNTIF(tblPresences[Étudiant],C181),""))</f>
        <v>0</v>
      </c>
      <c r="T181" s="27">
        <f>IF(C181="","",MAX(E181:P181))</f>
        <v>0</v>
      </c>
      <c r="U181" s="146">
        <f>IF(C181="","",IF(T181&gt;pSeuil,"⚠ ALERTE",""))</f>
        <v>0</v>
      </c>
    </row>
    <row r="182" spans="2:21">
      <c r="B182" s="147">
        <f>IF(C182="","",176)</f>
        <v>0</v>
      </c>
      <c r="C182" s="32">
        <f>IFERROR(INDEX(tblEtudiants[Nom et prénoms],176)&amp;"","")</f>
        <v>0</v>
      </c>
      <c r="D182" s="30">
        <f>IF(C182="","",INDEX(tblEtudiants[Groupe],176)&amp;"")</f>
        <v>0</v>
      </c>
      <c r="E182" s="30">
        <f>IF(OR($C182="",E$5=""),"",COUNTIFS(tblPresences[Étudiant],$C182,tblPresences[Code matière],E$5,tblPresences[Statut],"A"))</f>
        <v>0</v>
      </c>
      <c r="F182" s="30">
        <f>IF(OR($C182="",F$5=""),"",COUNTIFS(tblPresences[Étudiant],$C182,tblPresences[Code matière],F$5,tblPresences[Statut],"A"))</f>
        <v>0</v>
      </c>
      <c r="G182" s="30">
        <f>IF(OR($C182="",G$5=""),"",COUNTIFS(tblPresences[Étudiant],$C182,tblPresences[Code matière],G$5,tblPresences[Statut],"A"))</f>
        <v>0</v>
      </c>
      <c r="H182" s="30">
        <f>IF(OR($C182="",H$5=""),"",COUNTIFS(tblPresences[Étudiant],$C182,tblPresences[Code matière],H$5,tblPresences[Statut],"A"))</f>
        <v>0</v>
      </c>
      <c r="I182" s="30">
        <f>IF(OR($C182="",I$5=""),"",COUNTIFS(tblPresences[Étudiant],$C182,tblPresences[Code matière],I$5,tblPresences[Statut],"A"))</f>
        <v>0</v>
      </c>
      <c r="J182" s="30">
        <f>IF(OR($C182="",J$5=""),"",COUNTIFS(tblPresences[Étudiant],$C182,tblPresences[Code matière],J$5,tblPresences[Statut],"A"))</f>
        <v>0</v>
      </c>
      <c r="K182" s="30">
        <f>IF(OR($C182="",K$5=""),"",COUNTIFS(tblPresences[Étudiant],$C182,tblPresences[Code matière],K$5,tblPresences[Statut],"A"))</f>
        <v>0</v>
      </c>
      <c r="L182" s="30">
        <f>IF(OR($C182="",L$5=""),"",COUNTIFS(tblPresences[Étudiant],$C182,tblPresences[Code matière],L$5,tblPresences[Statut],"A"))</f>
        <v>0</v>
      </c>
      <c r="M182" s="30">
        <f>IF(OR($C182="",M$5=""),"",COUNTIFS(tblPresences[Étudiant],$C182,tblPresences[Code matière],M$5,tblPresences[Statut],"A"))</f>
        <v>0</v>
      </c>
      <c r="N182" s="30">
        <f>IF(OR($C182="",N$5=""),"",COUNTIFS(tblPresences[Étudiant],$C182,tblPresences[Code matière],N$5,tblPresences[Statut],"A"))</f>
        <v>0</v>
      </c>
      <c r="O182" s="30">
        <f>IF(OR($C182="",O$5=""),"",COUNTIFS(tblPresences[Étudiant],$C182,tblPresences[Code matière],O$5,tblPresences[Statut],"A"))</f>
        <v>0</v>
      </c>
      <c r="P182" s="30">
        <f>IF(OR($C182="",P$5=""),"",COUNTIFS(tblPresences[Étudiant],$C182,tblPresences[Code matière],P$5,tblPresences[Statut],"A"))</f>
        <v>0</v>
      </c>
      <c r="Q182" s="31">
        <f>IF(C182="","",SUM(E182:P182))</f>
        <v>0</v>
      </c>
      <c r="R182" s="30">
        <f>IF(C182="","",COUNTIFS(tblPresences[Étudiant],C182,tblPresences[Statut],"R"))</f>
        <v>0</v>
      </c>
      <c r="S182" s="124">
        <f>IF(C182="","",IFERROR((COUNTIFS(tblPresences[Étudiant],C182,tblPresences[Statut],"P")+COUNTIFS(tblPresences[Étudiant],C182,tblPresences[Statut],"R"))/COUNTIF(tblPresences[Étudiant],C182),""))</f>
        <v>0</v>
      </c>
      <c r="T182" s="30">
        <f>IF(C182="","",MAX(E182:P182))</f>
        <v>0</v>
      </c>
      <c r="U182" s="148">
        <f>IF(C182="","",IF(T182&gt;pSeuil,"⚠ ALERTE",""))</f>
        <v>0</v>
      </c>
    </row>
    <row r="183" spans="2:21">
      <c r="B183" s="145">
        <f>IF(C183="","",177)</f>
        <v>0</v>
      </c>
      <c r="C183" s="29">
        <f>IFERROR(INDEX(tblEtudiants[Nom et prénoms],177)&amp;"","")</f>
        <v>0</v>
      </c>
      <c r="D183" s="27">
        <f>IF(C183="","",INDEX(tblEtudiants[Groupe],177)&amp;"")</f>
        <v>0</v>
      </c>
      <c r="E183" s="27">
        <f>IF(OR($C183="",E$5=""),"",COUNTIFS(tblPresences[Étudiant],$C183,tblPresences[Code matière],E$5,tblPresences[Statut],"A"))</f>
        <v>0</v>
      </c>
      <c r="F183" s="27">
        <f>IF(OR($C183="",F$5=""),"",COUNTIFS(tblPresences[Étudiant],$C183,tblPresences[Code matière],F$5,tblPresences[Statut],"A"))</f>
        <v>0</v>
      </c>
      <c r="G183" s="27">
        <f>IF(OR($C183="",G$5=""),"",COUNTIFS(tblPresences[Étudiant],$C183,tblPresences[Code matière],G$5,tblPresences[Statut],"A"))</f>
        <v>0</v>
      </c>
      <c r="H183" s="27">
        <f>IF(OR($C183="",H$5=""),"",COUNTIFS(tblPresences[Étudiant],$C183,tblPresences[Code matière],H$5,tblPresences[Statut],"A"))</f>
        <v>0</v>
      </c>
      <c r="I183" s="27">
        <f>IF(OR($C183="",I$5=""),"",COUNTIFS(tblPresences[Étudiant],$C183,tblPresences[Code matière],I$5,tblPresences[Statut],"A"))</f>
        <v>0</v>
      </c>
      <c r="J183" s="27">
        <f>IF(OR($C183="",J$5=""),"",COUNTIFS(tblPresences[Étudiant],$C183,tblPresences[Code matière],J$5,tblPresences[Statut],"A"))</f>
        <v>0</v>
      </c>
      <c r="K183" s="27">
        <f>IF(OR($C183="",K$5=""),"",COUNTIFS(tblPresences[Étudiant],$C183,tblPresences[Code matière],K$5,tblPresences[Statut],"A"))</f>
        <v>0</v>
      </c>
      <c r="L183" s="27">
        <f>IF(OR($C183="",L$5=""),"",COUNTIFS(tblPresences[Étudiant],$C183,tblPresences[Code matière],L$5,tblPresences[Statut],"A"))</f>
        <v>0</v>
      </c>
      <c r="M183" s="27">
        <f>IF(OR($C183="",M$5=""),"",COUNTIFS(tblPresences[Étudiant],$C183,tblPresences[Code matière],M$5,tblPresences[Statut],"A"))</f>
        <v>0</v>
      </c>
      <c r="N183" s="27">
        <f>IF(OR($C183="",N$5=""),"",COUNTIFS(tblPresences[Étudiant],$C183,tblPresences[Code matière],N$5,tblPresences[Statut],"A"))</f>
        <v>0</v>
      </c>
      <c r="O183" s="27">
        <f>IF(OR($C183="",O$5=""),"",COUNTIFS(tblPresences[Étudiant],$C183,tblPresences[Code matière],O$5,tblPresences[Statut],"A"))</f>
        <v>0</v>
      </c>
      <c r="P183" s="27">
        <f>IF(OR($C183="",P$5=""),"",COUNTIFS(tblPresences[Étudiant],$C183,tblPresences[Code matière],P$5,tblPresences[Statut],"A"))</f>
        <v>0</v>
      </c>
      <c r="Q183" s="28">
        <f>IF(C183="","",SUM(E183:P183))</f>
        <v>0</v>
      </c>
      <c r="R183" s="27">
        <f>IF(C183="","",COUNTIFS(tblPresences[Étudiant],C183,tblPresences[Statut],"R"))</f>
        <v>0</v>
      </c>
      <c r="S183" s="123">
        <f>IF(C183="","",IFERROR((COUNTIFS(tblPresences[Étudiant],C183,tblPresences[Statut],"P")+COUNTIFS(tblPresences[Étudiant],C183,tblPresences[Statut],"R"))/COUNTIF(tblPresences[Étudiant],C183),""))</f>
        <v>0</v>
      </c>
      <c r="T183" s="27">
        <f>IF(C183="","",MAX(E183:P183))</f>
        <v>0</v>
      </c>
      <c r="U183" s="146">
        <f>IF(C183="","",IF(T183&gt;pSeuil,"⚠ ALERTE",""))</f>
        <v>0</v>
      </c>
    </row>
    <row r="184" spans="2:21">
      <c r="B184" s="147">
        <f>IF(C184="","",178)</f>
        <v>0</v>
      </c>
      <c r="C184" s="32">
        <f>IFERROR(INDEX(tblEtudiants[Nom et prénoms],178)&amp;"","")</f>
        <v>0</v>
      </c>
      <c r="D184" s="30">
        <f>IF(C184="","",INDEX(tblEtudiants[Groupe],178)&amp;"")</f>
        <v>0</v>
      </c>
      <c r="E184" s="30">
        <f>IF(OR($C184="",E$5=""),"",COUNTIFS(tblPresences[Étudiant],$C184,tblPresences[Code matière],E$5,tblPresences[Statut],"A"))</f>
        <v>0</v>
      </c>
      <c r="F184" s="30">
        <f>IF(OR($C184="",F$5=""),"",COUNTIFS(tblPresences[Étudiant],$C184,tblPresences[Code matière],F$5,tblPresences[Statut],"A"))</f>
        <v>0</v>
      </c>
      <c r="G184" s="30">
        <f>IF(OR($C184="",G$5=""),"",COUNTIFS(tblPresences[Étudiant],$C184,tblPresences[Code matière],G$5,tblPresences[Statut],"A"))</f>
        <v>0</v>
      </c>
      <c r="H184" s="30">
        <f>IF(OR($C184="",H$5=""),"",COUNTIFS(tblPresences[Étudiant],$C184,tblPresences[Code matière],H$5,tblPresences[Statut],"A"))</f>
        <v>0</v>
      </c>
      <c r="I184" s="30">
        <f>IF(OR($C184="",I$5=""),"",COUNTIFS(tblPresences[Étudiant],$C184,tblPresences[Code matière],I$5,tblPresences[Statut],"A"))</f>
        <v>0</v>
      </c>
      <c r="J184" s="30">
        <f>IF(OR($C184="",J$5=""),"",COUNTIFS(tblPresences[Étudiant],$C184,tblPresences[Code matière],J$5,tblPresences[Statut],"A"))</f>
        <v>0</v>
      </c>
      <c r="K184" s="30">
        <f>IF(OR($C184="",K$5=""),"",COUNTIFS(tblPresences[Étudiant],$C184,tblPresences[Code matière],K$5,tblPresences[Statut],"A"))</f>
        <v>0</v>
      </c>
      <c r="L184" s="30">
        <f>IF(OR($C184="",L$5=""),"",COUNTIFS(tblPresences[Étudiant],$C184,tblPresences[Code matière],L$5,tblPresences[Statut],"A"))</f>
        <v>0</v>
      </c>
      <c r="M184" s="30">
        <f>IF(OR($C184="",M$5=""),"",COUNTIFS(tblPresences[Étudiant],$C184,tblPresences[Code matière],M$5,tblPresences[Statut],"A"))</f>
        <v>0</v>
      </c>
      <c r="N184" s="30">
        <f>IF(OR($C184="",N$5=""),"",COUNTIFS(tblPresences[Étudiant],$C184,tblPresences[Code matière],N$5,tblPresences[Statut],"A"))</f>
        <v>0</v>
      </c>
      <c r="O184" s="30">
        <f>IF(OR($C184="",O$5=""),"",COUNTIFS(tblPresences[Étudiant],$C184,tblPresences[Code matière],O$5,tblPresences[Statut],"A"))</f>
        <v>0</v>
      </c>
      <c r="P184" s="30">
        <f>IF(OR($C184="",P$5=""),"",COUNTIFS(tblPresences[Étudiant],$C184,tblPresences[Code matière],P$5,tblPresences[Statut],"A"))</f>
        <v>0</v>
      </c>
      <c r="Q184" s="31">
        <f>IF(C184="","",SUM(E184:P184))</f>
        <v>0</v>
      </c>
      <c r="R184" s="30">
        <f>IF(C184="","",COUNTIFS(tblPresences[Étudiant],C184,tblPresences[Statut],"R"))</f>
        <v>0</v>
      </c>
      <c r="S184" s="124">
        <f>IF(C184="","",IFERROR((COUNTIFS(tblPresences[Étudiant],C184,tblPresences[Statut],"P")+COUNTIFS(tblPresences[Étudiant],C184,tblPresences[Statut],"R"))/COUNTIF(tblPresences[Étudiant],C184),""))</f>
        <v>0</v>
      </c>
      <c r="T184" s="30">
        <f>IF(C184="","",MAX(E184:P184))</f>
        <v>0</v>
      </c>
      <c r="U184" s="148">
        <f>IF(C184="","",IF(T184&gt;pSeuil,"⚠ ALERTE",""))</f>
        <v>0</v>
      </c>
    </row>
    <row r="185" spans="2:21">
      <c r="B185" s="145">
        <f>IF(C185="","",179)</f>
        <v>0</v>
      </c>
      <c r="C185" s="29">
        <f>IFERROR(INDEX(tblEtudiants[Nom et prénoms],179)&amp;"","")</f>
        <v>0</v>
      </c>
      <c r="D185" s="27">
        <f>IF(C185="","",INDEX(tblEtudiants[Groupe],179)&amp;"")</f>
        <v>0</v>
      </c>
      <c r="E185" s="27">
        <f>IF(OR($C185="",E$5=""),"",COUNTIFS(tblPresences[Étudiant],$C185,tblPresences[Code matière],E$5,tblPresences[Statut],"A"))</f>
        <v>0</v>
      </c>
      <c r="F185" s="27">
        <f>IF(OR($C185="",F$5=""),"",COUNTIFS(tblPresences[Étudiant],$C185,tblPresences[Code matière],F$5,tblPresences[Statut],"A"))</f>
        <v>0</v>
      </c>
      <c r="G185" s="27">
        <f>IF(OR($C185="",G$5=""),"",COUNTIFS(tblPresences[Étudiant],$C185,tblPresences[Code matière],G$5,tblPresences[Statut],"A"))</f>
        <v>0</v>
      </c>
      <c r="H185" s="27">
        <f>IF(OR($C185="",H$5=""),"",COUNTIFS(tblPresences[Étudiant],$C185,tblPresences[Code matière],H$5,tblPresences[Statut],"A"))</f>
        <v>0</v>
      </c>
      <c r="I185" s="27">
        <f>IF(OR($C185="",I$5=""),"",COUNTIFS(tblPresences[Étudiant],$C185,tblPresences[Code matière],I$5,tblPresences[Statut],"A"))</f>
        <v>0</v>
      </c>
      <c r="J185" s="27">
        <f>IF(OR($C185="",J$5=""),"",COUNTIFS(tblPresences[Étudiant],$C185,tblPresences[Code matière],J$5,tblPresences[Statut],"A"))</f>
        <v>0</v>
      </c>
      <c r="K185" s="27">
        <f>IF(OR($C185="",K$5=""),"",COUNTIFS(tblPresences[Étudiant],$C185,tblPresences[Code matière],K$5,tblPresences[Statut],"A"))</f>
        <v>0</v>
      </c>
      <c r="L185" s="27">
        <f>IF(OR($C185="",L$5=""),"",COUNTIFS(tblPresences[Étudiant],$C185,tblPresences[Code matière],L$5,tblPresences[Statut],"A"))</f>
        <v>0</v>
      </c>
      <c r="M185" s="27">
        <f>IF(OR($C185="",M$5=""),"",COUNTIFS(tblPresences[Étudiant],$C185,tblPresences[Code matière],M$5,tblPresences[Statut],"A"))</f>
        <v>0</v>
      </c>
      <c r="N185" s="27">
        <f>IF(OR($C185="",N$5=""),"",COUNTIFS(tblPresences[Étudiant],$C185,tblPresences[Code matière],N$5,tblPresences[Statut],"A"))</f>
        <v>0</v>
      </c>
      <c r="O185" s="27">
        <f>IF(OR($C185="",O$5=""),"",COUNTIFS(tblPresences[Étudiant],$C185,tblPresences[Code matière],O$5,tblPresences[Statut],"A"))</f>
        <v>0</v>
      </c>
      <c r="P185" s="27">
        <f>IF(OR($C185="",P$5=""),"",COUNTIFS(tblPresences[Étudiant],$C185,tblPresences[Code matière],P$5,tblPresences[Statut],"A"))</f>
        <v>0</v>
      </c>
      <c r="Q185" s="28">
        <f>IF(C185="","",SUM(E185:P185))</f>
        <v>0</v>
      </c>
      <c r="R185" s="27">
        <f>IF(C185="","",COUNTIFS(tblPresences[Étudiant],C185,tblPresences[Statut],"R"))</f>
        <v>0</v>
      </c>
      <c r="S185" s="123">
        <f>IF(C185="","",IFERROR((COUNTIFS(tblPresences[Étudiant],C185,tblPresences[Statut],"P")+COUNTIFS(tblPresences[Étudiant],C185,tblPresences[Statut],"R"))/COUNTIF(tblPresences[Étudiant],C185),""))</f>
        <v>0</v>
      </c>
      <c r="T185" s="27">
        <f>IF(C185="","",MAX(E185:P185))</f>
        <v>0</v>
      </c>
      <c r="U185" s="146">
        <f>IF(C185="","",IF(T185&gt;pSeuil,"⚠ ALERTE",""))</f>
        <v>0</v>
      </c>
    </row>
    <row r="186" spans="2:21">
      <c r="B186" s="147">
        <f>IF(C186="","",180)</f>
        <v>0</v>
      </c>
      <c r="C186" s="32">
        <f>IFERROR(INDEX(tblEtudiants[Nom et prénoms],180)&amp;"","")</f>
        <v>0</v>
      </c>
      <c r="D186" s="30">
        <f>IF(C186="","",INDEX(tblEtudiants[Groupe],180)&amp;"")</f>
        <v>0</v>
      </c>
      <c r="E186" s="30">
        <f>IF(OR($C186="",E$5=""),"",COUNTIFS(tblPresences[Étudiant],$C186,tblPresences[Code matière],E$5,tblPresences[Statut],"A"))</f>
        <v>0</v>
      </c>
      <c r="F186" s="30">
        <f>IF(OR($C186="",F$5=""),"",COUNTIFS(tblPresences[Étudiant],$C186,tblPresences[Code matière],F$5,tblPresences[Statut],"A"))</f>
        <v>0</v>
      </c>
      <c r="G186" s="30">
        <f>IF(OR($C186="",G$5=""),"",COUNTIFS(tblPresences[Étudiant],$C186,tblPresences[Code matière],G$5,tblPresences[Statut],"A"))</f>
        <v>0</v>
      </c>
      <c r="H186" s="30">
        <f>IF(OR($C186="",H$5=""),"",COUNTIFS(tblPresences[Étudiant],$C186,tblPresences[Code matière],H$5,tblPresences[Statut],"A"))</f>
        <v>0</v>
      </c>
      <c r="I186" s="30">
        <f>IF(OR($C186="",I$5=""),"",COUNTIFS(tblPresences[Étudiant],$C186,tblPresences[Code matière],I$5,tblPresences[Statut],"A"))</f>
        <v>0</v>
      </c>
      <c r="J186" s="30">
        <f>IF(OR($C186="",J$5=""),"",COUNTIFS(tblPresences[Étudiant],$C186,tblPresences[Code matière],J$5,tblPresences[Statut],"A"))</f>
        <v>0</v>
      </c>
      <c r="K186" s="30">
        <f>IF(OR($C186="",K$5=""),"",COUNTIFS(tblPresences[Étudiant],$C186,tblPresences[Code matière],K$5,tblPresences[Statut],"A"))</f>
        <v>0</v>
      </c>
      <c r="L186" s="30">
        <f>IF(OR($C186="",L$5=""),"",COUNTIFS(tblPresences[Étudiant],$C186,tblPresences[Code matière],L$5,tblPresences[Statut],"A"))</f>
        <v>0</v>
      </c>
      <c r="M186" s="30">
        <f>IF(OR($C186="",M$5=""),"",COUNTIFS(tblPresences[Étudiant],$C186,tblPresences[Code matière],M$5,tblPresences[Statut],"A"))</f>
        <v>0</v>
      </c>
      <c r="N186" s="30">
        <f>IF(OR($C186="",N$5=""),"",COUNTIFS(tblPresences[Étudiant],$C186,tblPresences[Code matière],N$5,tblPresences[Statut],"A"))</f>
        <v>0</v>
      </c>
      <c r="O186" s="30">
        <f>IF(OR($C186="",O$5=""),"",COUNTIFS(tblPresences[Étudiant],$C186,tblPresences[Code matière],O$5,tblPresences[Statut],"A"))</f>
        <v>0</v>
      </c>
      <c r="P186" s="30">
        <f>IF(OR($C186="",P$5=""),"",COUNTIFS(tblPresences[Étudiant],$C186,tblPresences[Code matière],P$5,tblPresences[Statut],"A"))</f>
        <v>0</v>
      </c>
      <c r="Q186" s="31">
        <f>IF(C186="","",SUM(E186:P186))</f>
        <v>0</v>
      </c>
      <c r="R186" s="30">
        <f>IF(C186="","",COUNTIFS(tblPresences[Étudiant],C186,tblPresences[Statut],"R"))</f>
        <v>0</v>
      </c>
      <c r="S186" s="124">
        <f>IF(C186="","",IFERROR((COUNTIFS(tblPresences[Étudiant],C186,tblPresences[Statut],"P")+COUNTIFS(tblPresences[Étudiant],C186,tblPresences[Statut],"R"))/COUNTIF(tblPresences[Étudiant],C186),""))</f>
        <v>0</v>
      </c>
      <c r="T186" s="30">
        <f>IF(C186="","",MAX(E186:P186))</f>
        <v>0</v>
      </c>
      <c r="U186" s="148">
        <f>IF(C186="","",IF(T186&gt;pSeuil,"⚠ ALERTE",""))</f>
        <v>0</v>
      </c>
    </row>
    <row r="187" spans="2:21">
      <c r="B187" s="145">
        <f>IF(C187="","",181)</f>
        <v>0</v>
      </c>
      <c r="C187" s="29">
        <f>IFERROR(INDEX(tblEtudiants[Nom et prénoms],181)&amp;"","")</f>
        <v>0</v>
      </c>
      <c r="D187" s="27">
        <f>IF(C187="","",INDEX(tblEtudiants[Groupe],181)&amp;"")</f>
        <v>0</v>
      </c>
      <c r="E187" s="27">
        <f>IF(OR($C187="",E$5=""),"",COUNTIFS(tblPresences[Étudiant],$C187,tblPresences[Code matière],E$5,tblPresences[Statut],"A"))</f>
        <v>0</v>
      </c>
      <c r="F187" s="27">
        <f>IF(OR($C187="",F$5=""),"",COUNTIFS(tblPresences[Étudiant],$C187,tblPresences[Code matière],F$5,tblPresences[Statut],"A"))</f>
        <v>0</v>
      </c>
      <c r="G187" s="27">
        <f>IF(OR($C187="",G$5=""),"",COUNTIFS(tblPresences[Étudiant],$C187,tblPresences[Code matière],G$5,tblPresences[Statut],"A"))</f>
        <v>0</v>
      </c>
      <c r="H187" s="27">
        <f>IF(OR($C187="",H$5=""),"",COUNTIFS(tblPresences[Étudiant],$C187,tblPresences[Code matière],H$5,tblPresences[Statut],"A"))</f>
        <v>0</v>
      </c>
      <c r="I187" s="27">
        <f>IF(OR($C187="",I$5=""),"",COUNTIFS(tblPresences[Étudiant],$C187,tblPresences[Code matière],I$5,tblPresences[Statut],"A"))</f>
        <v>0</v>
      </c>
      <c r="J187" s="27">
        <f>IF(OR($C187="",J$5=""),"",COUNTIFS(tblPresences[Étudiant],$C187,tblPresences[Code matière],J$5,tblPresences[Statut],"A"))</f>
        <v>0</v>
      </c>
      <c r="K187" s="27">
        <f>IF(OR($C187="",K$5=""),"",COUNTIFS(tblPresences[Étudiant],$C187,tblPresences[Code matière],K$5,tblPresences[Statut],"A"))</f>
        <v>0</v>
      </c>
      <c r="L187" s="27">
        <f>IF(OR($C187="",L$5=""),"",COUNTIFS(tblPresences[Étudiant],$C187,tblPresences[Code matière],L$5,tblPresences[Statut],"A"))</f>
        <v>0</v>
      </c>
      <c r="M187" s="27">
        <f>IF(OR($C187="",M$5=""),"",COUNTIFS(tblPresences[Étudiant],$C187,tblPresences[Code matière],M$5,tblPresences[Statut],"A"))</f>
        <v>0</v>
      </c>
      <c r="N187" s="27">
        <f>IF(OR($C187="",N$5=""),"",COUNTIFS(tblPresences[Étudiant],$C187,tblPresences[Code matière],N$5,tblPresences[Statut],"A"))</f>
        <v>0</v>
      </c>
      <c r="O187" s="27">
        <f>IF(OR($C187="",O$5=""),"",COUNTIFS(tblPresences[Étudiant],$C187,tblPresences[Code matière],O$5,tblPresences[Statut],"A"))</f>
        <v>0</v>
      </c>
      <c r="P187" s="27">
        <f>IF(OR($C187="",P$5=""),"",COUNTIFS(tblPresences[Étudiant],$C187,tblPresences[Code matière],P$5,tblPresences[Statut],"A"))</f>
        <v>0</v>
      </c>
      <c r="Q187" s="28">
        <f>IF(C187="","",SUM(E187:P187))</f>
        <v>0</v>
      </c>
      <c r="R187" s="27">
        <f>IF(C187="","",COUNTIFS(tblPresences[Étudiant],C187,tblPresences[Statut],"R"))</f>
        <v>0</v>
      </c>
      <c r="S187" s="123">
        <f>IF(C187="","",IFERROR((COUNTIFS(tblPresences[Étudiant],C187,tblPresences[Statut],"P")+COUNTIFS(tblPresences[Étudiant],C187,tblPresences[Statut],"R"))/COUNTIF(tblPresences[Étudiant],C187),""))</f>
        <v>0</v>
      </c>
      <c r="T187" s="27">
        <f>IF(C187="","",MAX(E187:P187))</f>
        <v>0</v>
      </c>
      <c r="U187" s="146">
        <f>IF(C187="","",IF(T187&gt;pSeuil,"⚠ ALERTE",""))</f>
        <v>0</v>
      </c>
    </row>
    <row r="188" spans="2:21">
      <c r="B188" s="147">
        <f>IF(C188="","",182)</f>
        <v>0</v>
      </c>
      <c r="C188" s="32">
        <f>IFERROR(INDEX(tblEtudiants[Nom et prénoms],182)&amp;"","")</f>
        <v>0</v>
      </c>
      <c r="D188" s="30">
        <f>IF(C188="","",INDEX(tblEtudiants[Groupe],182)&amp;"")</f>
        <v>0</v>
      </c>
      <c r="E188" s="30">
        <f>IF(OR($C188="",E$5=""),"",COUNTIFS(tblPresences[Étudiant],$C188,tblPresences[Code matière],E$5,tblPresences[Statut],"A"))</f>
        <v>0</v>
      </c>
      <c r="F188" s="30">
        <f>IF(OR($C188="",F$5=""),"",COUNTIFS(tblPresences[Étudiant],$C188,tblPresences[Code matière],F$5,tblPresences[Statut],"A"))</f>
        <v>0</v>
      </c>
      <c r="G188" s="30">
        <f>IF(OR($C188="",G$5=""),"",COUNTIFS(tblPresences[Étudiant],$C188,tblPresences[Code matière],G$5,tblPresences[Statut],"A"))</f>
        <v>0</v>
      </c>
      <c r="H188" s="30">
        <f>IF(OR($C188="",H$5=""),"",COUNTIFS(tblPresences[Étudiant],$C188,tblPresences[Code matière],H$5,tblPresences[Statut],"A"))</f>
        <v>0</v>
      </c>
      <c r="I188" s="30">
        <f>IF(OR($C188="",I$5=""),"",COUNTIFS(tblPresences[Étudiant],$C188,tblPresences[Code matière],I$5,tblPresences[Statut],"A"))</f>
        <v>0</v>
      </c>
      <c r="J188" s="30">
        <f>IF(OR($C188="",J$5=""),"",COUNTIFS(tblPresences[Étudiant],$C188,tblPresences[Code matière],J$5,tblPresences[Statut],"A"))</f>
        <v>0</v>
      </c>
      <c r="K188" s="30">
        <f>IF(OR($C188="",K$5=""),"",COUNTIFS(tblPresences[Étudiant],$C188,tblPresences[Code matière],K$5,tblPresences[Statut],"A"))</f>
        <v>0</v>
      </c>
      <c r="L188" s="30">
        <f>IF(OR($C188="",L$5=""),"",COUNTIFS(tblPresences[Étudiant],$C188,tblPresences[Code matière],L$5,tblPresences[Statut],"A"))</f>
        <v>0</v>
      </c>
      <c r="M188" s="30">
        <f>IF(OR($C188="",M$5=""),"",COUNTIFS(tblPresences[Étudiant],$C188,tblPresences[Code matière],M$5,tblPresences[Statut],"A"))</f>
        <v>0</v>
      </c>
      <c r="N188" s="30">
        <f>IF(OR($C188="",N$5=""),"",COUNTIFS(tblPresences[Étudiant],$C188,tblPresences[Code matière],N$5,tblPresences[Statut],"A"))</f>
        <v>0</v>
      </c>
      <c r="O188" s="30">
        <f>IF(OR($C188="",O$5=""),"",COUNTIFS(tblPresences[Étudiant],$C188,tblPresences[Code matière],O$5,tblPresences[Statut],"A"))</f>
        <v>0</v>
      </c>
      <c r="P188" s="30">
        <f>IF(OR($C188="",P$5=""),"",COUNTIFS(tblPresences[Étudiant],$C188,tblPresences[Code matière],P$5,tblPresences[Statut],"A"))</f>
        <v>0</v>
      </c>
      <c r="Q188" s="31">
        <f>IF(C188="","",SUM(E188:P188))</f>
        <v>0</v>
      </c>
      <c r="R188" s="30">
        <f>IF(C188="","",COUNTIFS(tblPresences[Étudiant],C188,tblPresences[Statut],"R"))</f>
        <v>0</v>
      </c>
      <c r="S188" s="124">
        <f>IF(C188="","",IFERROR((COUNTIFS(tblPresences[Étudiant],C188,tblPresences[Statut],"P")+COUNTIFS(tblPresences[Étudiant],C188,tblPresences[Statut],"R"))/COUNTIF(tblPresences[Étudiant],C188),""))</f>
        <v>0</v>
      </c>
      <c r="T188" s="30">
        <f>IF(C188="","",MAX(E188:P188))</f>
        <v>0</v>
      </c>
      <c r="U188" s="148">
        <f>IF(C188="","",IF(T188&gt;pSeuil,"⚠ ALERTE",""))</f>
        <v>0</v>
      </c>
    </row>
    <row r="189" spans="2:21">
      <c r="B189" s="145">
        <f>IF(C189="","",183)</f>
        <v>0</v>
      </c>
      <c r="C189" s="29">
        <f>IFERROR(INDEX(tblEtudiants[Nom et prénoms],183)&amp;"","")</f>
        <v>0</v>
      </c>
      <c r="D189" s="27">
        <f>IF(C189="","",INDEX(tblEtudiants[Groupe],183)&amp;"")</f>
        <v>0</v>
      </c>
      <c r="E189" s="27">
        <f>IF(OR($C189="",E$5=""),"",COUNTIFS(tblPresences[Étudiant],$C189,tblPresences[Code matière],E$5,tblPresences[Statut],"A"))</f>
        <v>0</v>
      </c>
      <c r="F189" s="27">
        <f>IF(OR($C189="",F$5=""),"",COUNTIFS(tblPresences[Étudiant],$C189,tblPresences[Code matière],F$5,tblPresences[Statut],"A"))</f>
        <v>0</v>
      </c>
      <c r="G189" s="27">
        <f>IF(OR($C189="",G$5=""),"",COUNTIFS(tblPresences[Étudiant],$C189,tblPresences[Code matière],G$5,tblPresences[Statut],"A"))</f>
        <v>0</v>
      </c>
      <c r="H189" s="27">
        <f>IF(OR($C189="",H$5=""),"",COUNTIFS(tblPresences[Étudiant],$C189,tblPresences[Code matière],H$5,tblPresences[Statut],"A"))</f>
        <v>0</v>
      </c>
      <c r="I189" s="27">
        <f>IF(OR($C189="",I$5=""),"",COUNTIFS(tblPresences[Étudiant],$C189,tblPresences[Code matière],I$5,tblPresences[Statut],"A"))</f>
        <v>0</v>
      </c>
      <c r="J189" s="27">
        <f>IF(OR($C189="",J$5=""),"",COUNTIFS(tblPresences[Étudiant],$C189,tblPresences[Code matière],J$5,tblPresences[Statut],"A"))</f>
        <v>0</v>
      </c>
      <c r="K189" s="27">
        <f>IF(OR($C189="",K$5=""),"",COUNTIFS(tblPresences[Étudiant],$C189,tblPresences[Code matière],K$5,tblPresences[Statut],"A"))</f>
        <v>0</v>
      </c>
      <c r="L189" s="27">
        <f>IF(OR($C189="",L$5=""),"",COUNTIFS(tblPresences[Étudiant],$C189,tblPresences[Code matière],L$5,tblPresences[Statut],"A"))</f>
        <v>0</v>
      </c>
      <c r="M189" s="27">
        <f>IF(OR($C189="",M$5=""),"",COUNTIFS(tblPresences[Étudiant],$C189,tblPresences[Code matière],M$5,tblPresences[Statut],"A"))</f>
        <v>0</v>
      </c>
      <c r="N189" s="27">
        <f>IF(OR($C189="",N$5=""),"",COUNTIFS(tblPresences[Étudiant],$C189,tblPresences[Code matière],N$5,tblPresences[Statut],"A"))</f>
        <v>0</v>
      </c>
      <c r="O189" s="27">
        <f>IF(OR($C189="",O$5=""),"",COUNTIFS(tblPresences[Étudiant],$C189,tblPresences[Code matière],O$5,tblPresences[Statut],"A"))</f>
        <v>0</v>
      </c>
      <c r="P189" s="27">
        <f>IF(OR($C189="",P$5=""),"",COUNTIFS(tblPresences[Étudiant],$C189,tblPresences[Code matière],P$5,tblPresences[Statut],"A"))</f>
        <v>0</v>
      </c>
      <c r="Q189" s="28">
        <f>IF(C189="","",SUM(E189:P189))</f>
        <v>0</v>
      </c>
      <c r="R189" s="27">
        <f>IF(C189="","",COUNTIFS(tblPresences[Étudiant],C189,tblPresences[Statut],"R"))</f>
        <v>0</v>
      </c>
      <c r="S189" s="123">
        <f>IF(C189="","",IFERROR((COUNTIFS(tblPresences[Étudiant],C189,tblPresences[Statut],"P")+COUNTIFS(tblPresences[Étudiant],C189,tblPresences[Statut],"R"))/COUNTIF(tblPresences[Étudiant],C189),""))</f>
        <v>0</v>
      </c>
      <c r="T189" s="27">
        <f>IF(C189="","",MAX(E189:P189))</f>
        <v>0</v>
      </c>
      <c r="U189" s="146">
        <f>IF(C189="","",IF(T189&gt;pSeuil,"⚠ ALERTE",""))</f>
        <v>0</v>
      </c>
    </row>
    <row r="190" spans="2:21">
      <c r="B190" s="147">
        <f>IF(C190="","",184)</f>
        <v>0</v>
      </c>
      <c r="C190" s="32">
        <f>IFERROR(INDEX(tblEtudiants[Nom et prénoms],184)&amp;"","")</f>
        <v>0</v>
      </c>
      <c r="D190" s="30">
        <f>IF(C190="","",INDEX(tblEtudiants[Groupe],184)&amp;"")</f>
        <v>0</v>
      </c>
      <c r="E190" s="30">
        <f>IF(OR($C190="",E$5=""),"",COUNTIFS(tblPresences[Étudiant],$C190,tblPresences[Code matière],E$5,tblPresences[Statut],"A"))</f>
        <v>0</v>
      </c>
      <c r="F190" s="30">
        <f>IF(OR($C190="",F$5=""),"",COUNTIFS(tblPresences[Étudiant],$C190,tblPresences[Code matière],F$5,tblPresences[Statut],"A"))</f>
        <v>0</v>
      </c>
      <c r="G190" s="30">
        <f>IF(OR($C190="",G$5=""),"",COUNTIFS(tblPresences[Étudiant],$C190,tblPresences[Code matière],G$5,tblPresences[Statut],"A"))</f>
        <v>0</v>
      </c>
      <c r="H190" s="30">
        <f>IF(OR($C190="",H$5=""),"",COUNTIFS(tblPresences[Étudiant],$C190,tblPresences[Code matière],H$5,tblPresences[Statut],"A"))</f>
        <v>0</v>
      </c>
      <c r="I190" s="30">
        <f>IF(OR($C190="",I$5=""),"",COUNTIFS(tblPresences[Étudiant],$C190,tblPresences[Code matière],I$5,tblPresences[Statut],"A"))</f>
        <v>0</v>
      </c>
      <c r="J190" s="30">
        <f>IF(OR($C190="",J$5=""),"",COUNTIFS(tblPresences[Étudiant],$C190,tblPresences[Code matière],J$5,tblPresences[Statut],"A"))</f>
        <v>0</v>
      </c>
      <c r="K190" s="30">
        <f>IF(OR($C190="",K$5=""),"",COUNTIFS(tblPresences[Étudiant],$C190,tblPresences[Code matière],K$5,tblPresences[Statut],"A"))</f>
        <v>0</v>
      </c>
      <c r="L190" s="30">
        <f>IF(OR($C190="",L$5=""),"",COUNTIFS(tblPresences[Étudiant],$C190,tblPresences[Code matière],L$5,tblPresences[Statut],"A"))</f>
        <v>0</v>
      </c>
      <c r="M190" s="30">
        <f>IF(OR($C190="",M$5=""),"",COUNTIFS(tblPresences[Étudiant],$C190,tblPresences[Code matière],M$5,tblPresences[Statut],"A"))</f>
        <v>0</v>
      </c>
      <c r="N190" s="30">
        <f>IF(OR($C190="",N$5=""),"",COUNTIFS(tblPresences[Étudiant],$C190,tblPresences[Code matière],N$5,tblPresences[Statut],"A"))</f>
        <v>0</v>
      </c>
      <c r="O190" s="30">
        <f>IF(OR($C190="",O$5=""),"",COUNTIFS(tblPresences[Étudiant],$C190,tblPresences[Code matière],O$5,tblPresences[Statut],"A"))</f>
        <v>0</v>
      </c>
      <c r="P190" s="30">
        <f>IF(OR($C190="",P$5=""),"",COUNTIFS(tblPresences[Étudiant],$C190,tblPresences[Code matière],P$5,tblPresences[Statut],"A"))</f>
        <v>0</v>
      </c>
      <c r="Q190" s="31">
        <f>IF(C190="","",SUM(E190:P190))</f>
        <v>0</v>
      </c>
      <c r="R190" s="30">
        <f>IF(C190="","",COUNTIFS(tblPresences[Étudiant],C190,tblPresences[Statut],"R"))</f>
        <v>0</v>
      </c>
      <c r="S190" s="124">
        <f>IF(C190="","",IFERROR((COUNTIFS(tblPresences[Étudiant],C190,tblPresences[Statut],"P")+COUNTIFS(tblPresences[Étudiant],C190,tblPresences[Statut],"R"))/COUNTIF(tblPresences[Étudiant],C190),""))</f>
        <v>0</v>
      </c>
      <c r="T190" s="30">
        <f>IF(C190="","",MAX(E190:P190))</f>
        <v>0</v>
      </c>
      <c r="U190" s="148">
        <f>IF(C190="","",IF(T190&gt;pSeuil,"⚠ ALERTE",""))</f>
        <v>0</v>
      </c>
    </row>
    <row r="191" spans="2:21">
      <c r="B191" s="145">
        <f>IF(C191="","",185)</f>
        <v>0</v>
      </c>
      <c r="C191" s="29">
        <f>IFERROR(INDEX(tblEtudiants[Nom et prénoms],185)&amp;"","")</f>
        <v>0</v>
      </c>
      <c r="D191" s="27">
        <f>IF(C191="","",INDEX(tblEtudiants[Groupe],185)&amp;"")</f>
        <v>0</v>
      </c>
      <c r="E191" s="27">
        <f>IF(OR($C191="",E$5=""),"",COUNTIFS(tblPresences[Étudiant],$C191,tblPresences[Code matière],E$5,tblPresences[Statut],"A"))</f>
        <v>0</v>
      </c>
      <c r="F191" s="27">
        <f>IF(OR($C191="",F$5=""),"",COUNTIFS(tblPresences[Étudiant],$C191,tblPresences[Code matière],F$5,tblPresences[Statut],"A"))</f>
        <v>0</v>
      </c>
      <c r="G191" s="27">
        <f>IF(OR($C191="",G$5=""),"",COUNTIFS(tblPresences[Étudiant],$C191,tblPresences[Code matière],G$5,tblPresences[Statut],"A"))</f>
        <v>0</v>
      </c>
      <c r="H191" s="27">
        <f>IF(OR($C191="",H$5=""),"",COUNTIFS(tblPresences[Étudiant],$C191,tblPresences[Code matière],H$5,tblPresences[Statut],"A"))</f>
        <v>0</v>
      </c>
      <c r="I191" s="27">
        <f>IF(OR($C191="",I$5=""),"",COUNTIFS(tblPresences[Étudiant],$C191,tblPresences[Code matière],I$5,tblPresences[Statut],"A"))</f>
        <v>0</v>
      </c>
      <c r="J191" s="27">
        <f>IF(OR($C191="",J$5=""),"",COUNTIFS(tblPresences[Étudiant],$C191,tblPresences[Code matière],J$5,tblPresences[Statut],"A"))</f>
        <v>0</v>
      </c>
      <c r="K191" s="27">
        <f>IF(OR($C191="",K$5=""),"",COUNTIFS(tblPresences[Étudiant],$C191,tblPresences[Code matière],K$5,tblPresences[Statut],"A"))</f>
        <v>0</v>
      </c>
      <c r="L191" s="27">
        <f>IF(OR($C191="",L$5=""),"",COUNTIFS(tblPresences[Étudiant],$C191,tblPresences[Code matière],L$5,tblPresences[Statut],"A"))</f>
        <v>0</v>
      </c>
      <c r="M191" s="27">
        <f>IF(OR($C191="",M$5=""),"",COUNTIFS(tblPresences[Étudiant],$C191,tblPresences[Code matière],M$5,tblPresences[Statut],"A"))</f>
        <v>0</v>
      </c>
      <c r="N191" s="27">
        <f>IF(OR($C191="",N$5=""),"",COUNTIFS(tblPresences[Étudiant],$C191,tblPresences[Code matière],N$5,tblPresences[Statut],"A"))</f>
        <v>0</v>
      </c>
      <c r="O191" s="27">
        <f>IF(OR($C191="",O$5=""),"",COUNTIFS(tblPresences[Étudiant],$C191,tblPresences[Code matière],O$5,tblPresences[Statut],"A"))</f>
        <v>0</v>
      </c>
      <c r="P191" s="27">
        <f>IF(OR($C191="",P$5=""),"",COUNTIFS(tblPresences[Étudiant],$C191,tblPresences[Code matière],P$5,tblPresences[Statut],"A"))</f>
        <v>0</v>
      </c>
      <c r="Q191" s="28">
        <f>IF(C191="","",SUM(E191:P191))</f>
        <v>0</v>
      </c>
      <c r="R191" s="27">
        <f>IF(C191="","",COUNTIFS(tblPresences[Étudiant],C191,tblPresences[Statut],"R"))</f>
        <v>0</v>
      </c>
      <c r="S191" s="123">
        <f>IF(C191="","",IFERROR((COUNTIFS(tblPresences[Étudiant],C191,tblPresences[Statut],"P")+COUNTIFS(tblPresences[Étudiant],C191,tblPresences[Statut],"R"))/COUNTIF(tblPresences[Étudiant],C191),""))</f>
        <v>0</v>
      </c>
      <c r="T191" s="27">
        <f>IF(C191="","",MAX(E191:P191))</f>
        <v>0</v>
      </c>
      <c r="U191" s="146">
        <f>IF(C191="","",IF(T191&gt;pSeuil,"⚠ ALERTE",""))</f>
        <v>0</v>
      </c>
    </row>
    <row r="192" spans="2:21">
      <c r="B192" s="147">
        <f>IF(C192="","",186)</f>
        <v>0</v>
      </c>
      <c r="C192" s="32">
        <f>IFERROR(INDEX(tblEtudiants[Nom et prénoms],186)&amp;"","")</f>
        <v>0</v>
      </c>
      <c r="D192" s="30">
        <f>IF(C192="","",INDEX(tblEtudiants[Groupe],186)&amp;"")</f>
        <v>0</v>
      </c>
      <c r="E192" s="30">
        <f>IF(OR($C192="",E$5=""),"",COUNTIFS(tblPresences[Étudiant],$C192,tblPresences[Code matière],E$5,tblPresences[Statut],"A"))</f>
        <v>0</v>
      </c>
      <c r="F192" s="30">
        <f>IF(OR($C192="",F$5=""),"",COUNTIFS(tblPresences[Étudiant],$C192,tblPresences[Code matière],F$5,tblPresences[Statut],"A"))</f>
        <v>0</v>
      </c>
      <c r="G192" s="30">
        <f>IF(OR($C192="",G$5=""),"",COUNTIFS(tblPresences[Étudiant],$C192,tblPresences[Code matière],G$5,tblPresences[Statut],"A"))</f>
        <v>0</v>
      </c>
      <c r="H192" s="30">
        <f>IF(OR($C192="",H$5=""),"",COUNTIFS(tblPresences[Étudiant],$C192,tblPresences[Code matière],H$5,tblPresences[Statut],"A"))</f>
        <v>0</v>
      </c>
      <c r="I192" s="30">
        <f>IF(OR($C192="",I$5=""),"",COUNTIFS(tblPresences[Étudiant],$C192,tblPresences[Code matière],I$5,tblPresences[Statut],"A"))</f>
        <v>0</v>
      </c>
      <c r="J192" s="30">
        <f>IF(OR($C192="",J$5=""),"",COUNTIFS(tblPresences[Étudiant],$C192,tblPresences[Code matière],J$5,tblPresences[Statut],"A"))</f>
        <v>0</v>
      </c>
      <c r="K192" s="30">
        <f>IF(OR($C192="",K$5=""),"",COUNTIFS(tblPresences[Étudiant],$C192,tblPresences[Code matière],K$5,tblPresences[Statut],"A"))</f>
        <v>0</v>
      </c>
      <c r="L192" s="30">
        <f>IF(OR($C192="",L$5=""),"",COUNTIFS(tblPresences[Étudiant],$C192,tblPresences[Code matière],L$5,tblPresences[Statut],"A"))</f>
        <v>0</v>
      </c>
      <c r="M192" s="30">
        <f>IF(OR($C192="",M$5=""),"",COUNTIFS(tblPresences[Étudiant],$C192,tblPresences[Code matière],M$5,tblPresences[Statut],"A"))</f>
        <v>0</v>
      </c>
      <c r="N192" s="30">
        <f>IF(OR($C192="",N$5=""),"",COUNTIFS(tblPresences[Étudiant],$C192,tblPresences[Code matière],N$5,tblPresences[Statut],"A"))</f>
        <v>0</v>
      </c>
      <c r="O192" s="30">
        <f>IF(OR($C192="",O$5=""),"",COUNTIFS(tblPresences[Étudiant],$C192,tblPresences[Code matière],O$5,tblPresences[Statut],"A"))</f>
        <v>0</v>
      </c>
      <c r="P192" s="30">
        <f>IF(OR($C192="",P$5=""),"",COUNTIFS(tblPresences[Étudiant],$C192,tblPresences[Code matière],P$5,tblPresences[Statut],"A"))</f>
        <v>0</v>
      </c>
      <c r="Q192" s="31">
        <f>IF(C192="","",SUM(E192:P192))</f>
        <v>0</v>
      </c>
      <c r="R192" s="30">
        <f>IF(C192="","",COUNTIFS(tblPresences[Étudiant],C192,tblPresences[Statut],"R"))</f>
        <v>0</v>
      </c>
      <c r="S192" s="124">
        <f>IF(C192="","",IFERROR((COUNTIFS(tblPresences[Étudiant],C192,tblPresences[Statut],"P")+COUNTIFS(tblPresences[Étudiant],C192,tblPresences[Statut],"R"))/COUNTIF(tblPresences[Étudiant],C192),""))</f>
        <v>0</v>
      </c>
      <c r="T192" s="30">
        <f>IF(C192="","",MAX(E192:P192))</f>
        <v>0</v>
      </c>
      <c r="U192" s="148">
        <f>IF(C192="","",IF(T192&gt;pSeuil,"⚠ ALERTE",""))</f>
        <v>0</v>
      </c>
    </row>
    <row r="193" spans="2:21">
      <c r="B193" s="145">
        <f>IF(C193="","",187)</f>
        <v>0</v>
      </c>
      <c r="C193" s="29">
        <f>IFERROR(INDEX(tblEtudiants[Nom et prénoms],187)&amp;"","")</f>
        <v>0</v>
      </c>
      <c r="D193" s="27">
        <f>IF(C193="","",INDEX(tblEtudiants[Groupe],187)&amp;"")</f>
        <v>0</v>
      </c>
      <c r="E193" s="27">
        <f>IF(OR($C193="",E$5=""),"",COUNTIFS(tblPresences[Étudiant],$C193,tblPresences[Code matière],E$5,tblPresences[Statut],"A"))</f>
        <v>0</v>
      </c>
      <c r="F193" s="27">
        <f>IF(OR($C193="",F$5=""),"",COUNTIFS(tblPresences[Étudiant],$C193,tblPresences[Code matière],F$5,tblPresences[Statut],"A"))</f>
        <v>0</v>
      </c>
      <c r="G193" s="27">
        <f>IF(OR($C193="",G$5=""),"",COUNTIFS(tblPresences[Étudiant],$C193,tblPresences[Code matière],G$5,tblPresences[Statut],"A"))</f>
        <v>0</v>
      </c>
      <c r="H193" s="27">
        <f>IF(OR($C193="",H$5=""),"",COUNTIFS(tblPresences[Étudiant],$C193,tblPresences[Code matière],H$5,tblPresences[Statut],"A"))</f>
        <v>0</v>
      </c>
      <c r="I193" s="27">
        <f>IF(OR($C193="",I$5=""),"",COUNTIFS(tblPresences[Étudiant],$C193,tblPresences[Code matière],I$5,tblPresences[Statut],"A"))</f>
        <v>0</v>
      </c>
      <c r="J193" s="27">
        <f>IF(OR($C193="",J$5=""),"",COUNTIFS(tblPresences[Étudiant],$C193,tblPresences[Code matière],J$5,tblPresences[Statut],"A"))</f>
        <v>0</v>
      </c>
      <c r="K193" s="27">
        <f>IF(OR($C193="",K$5=""),"",COUNTIFS(tblPresences[Étudiant],$C193,tblPresences[Code matière],K$5,tblPresences[Statut],"A"))</f>
        <v>0</v>
      </c>
      <c r="L193" s="27">
        <f>IF(OR($C193="",L$5=""),"",COUNTIFS(tblPresences[Étudiant],$C193,tblPresences[Code matière],L$5,tblPresences[Statut],"A"))</f>
        <v>0</v>
      </c>
      <c r="M193" s="27">
        <f>IF(OR($C193="",M$5=""),"",COUNTIFS(tblPresences[Étudiant],$C193,tblPresences[Code matière],M$5,tblPresences[Statut],"A"))</f>
        <v>0</v>
      </c>
      <c r="N193" s="27">
        <f>IF(OR($C193="",N$5=""),"",COUNTIFS(tblPresences[Étudiant],$C193,tblPresences[Code matière],N$5,tblPresences[Statut],"A"))</f>
        <v>0</v>
      </c>
      <c r="O193" s="27">
        <f>IF(OR($C193="",O$5=""),"",COUNTIFS(tblPresences[Étudiant],$C193,tblPresences[Code matière],O$5,tblPresences[Statut],"A"))</f>
        <v>0</v>
      </c>
      <c r="P193" s="27">
        <f>IF(OR($C193="",P$5=""),"",COUNTIFS(tblPresences[Étudiant],$C193,tblPresences[Code matière],P$5,tblPresences[Statut],"A"))</f>
        <v>0</v>
      </c>
      <c r="Q193" s="28">
        <f>IF(C193="","",SUM(E193:P193))</f>
        <v>0</v>
      </c>
      <c r="R193" s="27">
        <f>IF(C193="","",COUNTIFS(tblPresences[Étudiant],C193,tblPresences[Statut],"R"))</f>
        <v>0</v>
      </c>
      <c r="S193" s="123">
        <f>IF(C193="","",IFERROR((COUNTIFS(tblPresences[Étudiant],C193,tblPresences[Statut],"P")+COUNTIFS(tblPresences[Étudiant],C193,tblPresences[Statut],"R"))/COUNTIF(tblPresences[Étudiant],C193),""))</f>
        <v>0</v>
      </c>
      <c r="T193" s="27">
        <f>IF(C193="","",MAX(E193:P193))</f>
        <v>0</v>
      </c>
      <c r="U193" s="146">
        <f>IF(C193="","",IF(T193&gt;pSeuil,"⚠ ALERTE",""))</f>
        <v>0</v>
      </c>
    </row>
    <row r="194" spans="2:21">
      <c r="B194" s="147">
        <f>IF(C194="","",188)</f>
        <v>0</v>
      </c>
      <c r="C194" s="32">
        <f>IFERROR(INDEX(tblEtudiants[Nom et prénoms],188)&amp;"","")</f>
        <v>0</v>
      </c>
      <c r="D194" s="30">
        <f>IF(C194="","",INDEX(tblEtudiants[Groupe],188)&amp;"")</f>
        <v>0</v>
      </c>
      <c r="E194" s="30">
        <f>IF(OR($C194="",E$5=""),"",COUNTIFS(tblPresences[Étudiant],$C194,tblPresences[Code matière],E$5,tblPresences[Statut],"A"))</f>
        <v>0</v>
      </c>
      <c r="F194" s="30">
        <f>IF(OR($C194="",F$5=""),"",COUNTIFS(tblPresences[Étudiant],$C194,tblPresences[Code matière],F$5,tblPresences[Statut],"A"))</f>
        <v>0</v>
      </c>
      <c r="G194" s="30">
        <f>IF(OR($C194="",G$5=""),"",COUNTIFS(tblPresences[Étudiant],$C194,tblPresences[Code matière],G$5,tblPresences[Statut],"A"))</f>
        <v>0</v>
      </c>
      <c r="H194" s="30">
        <f>IF(OR($C194="",H$5=""),"",COUNTIFS(tblPresences[Étudiant],$C194,tblPresences[Code matière],H$5,tblPresences[Statut],"A"))</f>
        <v>0</v>
      </c>
      <c r="I194" s="30">
        <f>IF(OR($C194="",I$5=""),"",COUNTIFS(tblPresences[Étudiant],$C194,tblPresences[Code matière],I$5,tblPresences[Statut],"A"))</f>
        <v>0</v>
      </c>
      <c r="J194" s="30">
        <f>IF(OR($C194="",J$5=""),"",COUNTIFS(tblPresences[Étudiant],$C194,tblPresences[Code matière],J$5,tblPresences[Statut],"A"))</f>
        <v>0</v>
      </c>
      <c r="K194" s="30">
        <f>IF(OR($C194="",K$5=""),"",COUNTIFS(tblPresences[Étudiant],$C194,tblPresences[Code matière],K$5,tblPresences[Statut],"A"))</f>
        <v>0</v>
      </c>
      <c r="L194" s="30">
        <f>IF(OR($C194="",L$5=""),"",COUNTIFS(tblPresences[Étudiant],$C194,tblPresences[Code matière],L$5,tblPresences[Statut],"A"))</f>
        <v>0</v>
      </c>
      <c r="M194" s="30">
        <f>IF(OR($C194="",M$5=""),"",COUNTIFS(tblPresences[Étudiant],$C194,tblPresences[Code matière],M$5,tblPresences[Statut],"A"))</f>
        <v>0</v>
      </c>
      <c r="N194" s="30">
        <f>IF(OR($C194="",N$5=""),"",COUNTIFS(tblPresences[Étudiant],$C194,tblPresences[Code matière],N$5,tblPresences[Statut],"A"))</f>
        <v>0</v>
      </c>
      <c r="O194" s="30">
        <f>IF(OR($C194="",O$5=""),"",COUNTIFS(tblPresences[Étudiant],$C194,tblPresences[Code matière],O$5,tblPresences[Statut],"A"))</f>
        <v>0</v>
      </c>
      <c r="P194" s="30">
        <f>IF(OR($C194="",P$5=""),"",COUNTIFS(tblPresences[Étudiant],$C194,tblPresences[Code matière],P$5,tblPresences[Statut],"A"))</f>
        <v>0</v>
      </c>
      <c r="Q194" s="31">
        <f>IF(C194="","",SUM(E194:P194))</f>
        <v>0</v>
      </c>
      <c r="R194" s="30">
        <f>IF(C194="","",COUNTIFS(tblPresences[Étudiant],C194,tblPresences[Statut],"R"))</f>
        <v>0</v>
      </c>
      <c r="S194" s="124">
        <f>IF(C194="","",IFERROR((COUNTIFS(tblPresences[Étudiant],C194,tblPresences[Statut],"P")+COUNTIFS(tblPresences[Étudiant],C194,tblPresences[Statut],"R"))/COUNTIF(tblPresences[Étudiant],C194),""))</f>
        <v>0</v>
      </c>
      <c r="T194" s="30">
        <f>IF(C194="","",MAX(E194:P194))</f>
        <v>0</v>
      </c>
      <c r="U194" s="148">
        <f>IF(C194="","",IF(T194&gt;pSeuil,"⚠ ALERTE",""))</f>
        <v>0</v>
      </c>
    </row>
    <row r="195" spans="2:21">
      <c r="B195" s="145">
        <f>IF(C195="","",189)</f>
        <v>0</v>
      </c>
      <c r="C195" s="29">
        <f>IFERROR(INDEX(tblEtudiants[Nom et prénoms],189)&amp;"","")</f>
        <v>0</v>
      </c>
      <c r="D195" s="27">
        <f>IF(C195="","",INDEX(tblEtudiants[Groupe],189)&amp;"")</f>
        <v>0</v>
      </c>
      <c r="E195" s="27">
        <f>IF(OR($C195="",E$5=""),"",COUNTIFS(tblPresences[Étudiant],$C195,tblPresences[Code matière],E$5,tblPresences[Statut],"A"))</f>
        <v>0</v>
      </c>
      <c r="F195" s="27">
        <f>IF(OR($C195="",F$5=""),"",COUNTIFS(tblPresences[Étudiant],$C195,tblPresences[Code matière],F$5,tblPresences[Statut],"A"))</f>
        <v>0</v>
      </c>
      <c r="G195" s="27">
        <f>IF(OR($C195="",G$5=""),"",COUNTIFS(tblPresences[Étudiant],$C195,tblPresences[Code matière],G$5,tblPresences[Statut],"A"))</f>
        <v>0</v>
      </c>
      <c r="H195" s="27">
        <f>IF(OR($C195="",H$5=""),"",COUNTIFS(tblPresences[Étudiant],$C195,tblPresences[Code matière],H$5,tblPresences[Statut],"A"))</f>
        <v>0</v>
      </c>
      <c r="I195" s="27">
        <f>IF(OR($C195="",I$5=""),"",COUNTIFS(tblPresences[Étudiant],$C195,tblPresences[Code matière],I$5,tblPresences[Statut],"A"))</f>
        <v>0</v>
      </c>
      <c r="J195" s="27">
        <f>IF(OR($C195="",J$5=""),"",COUNTIFS(tblPresences[Étudiant],$C195,tblPresences[Code matière],J$5,tblPresences[Statut],"A"))</f>
        <v>0</v>
      </c>
      <c r="K195" s="27">
        <f>IF(OR($C195="",K$5=""),"",COUNTIFS(tblPresences[Étudiant],$C195,tblPresences[Code matière],K$5,tblPresences[Statut],"A"))</f>
        <v>0</v>
      </c>
      <c r="L195" s="27">
        <f>IF(OR($C195="",L$5=""),"",COUNTIFS(tblPresences[Étudiant],$C195,tblPresences[Code matière],L$5,tblPresences[Statut],"A"))</f>
        <v>0</v>
      </c>
      <c r="M195" s="27">
        <f>IF(OR($C195="",M$5=""),"",COUNTIFS(tblPresences[Étudiant],$C195,tblPresences[Code matière],M$5,tblPresences[Statut],"A"))</f>
        <v>0</v>
      </c>
      <c r="N195" s="27">
        <f>IF(OR($C195="",N$5=""),"",COUNTIFS(tblPresences[Étudiant],$C195,tblPresences[Code matière],N$5,tblPresences[Statut],"A"))</f>
        <v>0</v>
      </c>
      <c r="O195" s="27">
        <f>IF(OR($C195="",O$5=""),"",COUNTIFS(tblPresences[Étudiant],$C195,tblPresences[Code matière],O$5,tblPresences[Statut],"A"))</f>
        <v>0</v>
      </c>
      <c r="P195" s="27">
        <f>IF(OR($C195="",P$5=""),"",COUNTIFS(tblPresences[Étudiant],$C195,tblPresences[Code matière],P$5,tblPresences[Statut],"A"))</f>
        <v>0</v>
      </c>
      <c r="Q195" s="28">
        <f>IF(C195="","",SUM(E195:P195))</f>
        <v>0</v>
      </c>
      <c r="R195" s="27">
        <f>IF(C195="","",COUNTIFS(tblPresences[Étudiant],C195,tblPresences[Statut],"R"))</f>
        <v>0</v>
      </c>
      <c r="S195" s="123">
        <f>IF(C195="","",IFERROR((COUNTIFS(tblPresences[Étudiant],C195,tblPresences[Statut],"P")+COUNTIFS(tblPresences[Étudiant],C195,tblPresences[Statut],"R"))/COUNTIF(tblPresences[Étudiant],C195),""))</f>
        <v>0</v>
      </c>
      <c r="T195" s="27">
        <f>IF(C195="","",MAX(E195:P195))</f>
        <v>0</v>
      </c>
      <c r="U195" s="146">
        <f>IF(C195="","",IF(T195&gt;pSeuil,"⚠ ALERTE",""))</f>
        <v>0</v>
      </c>
    </row>
    <row r="196" spans="2:21">
      <c r="B196" s="147">
        <f>IF(C196="","",190)</f>
        <v>0</v>
      </c>
      <c r="C196" s="32">
        <f>IFERROR(INDEX(tblEtudiants[Nom et prénoms],190)&amp;"","")</f>
        <v>0</v>
      </c>
      <c r="D196" s="30">
        <f>IF(C196="","",INDEX(tblEtudiants[Groupe],190)&amp;"")</f>
        <v>0</v>
      </c>
      <c r="E196" s="30">
        <f>IF(OR($C196="",E$5=""),"",COUNTIFS(tblPresences[Étudiant],$C196,tblPresences[Code matière],E$5,tblPresences[Statut],"A"))</f>
        <v>0</v>
      </c>
      <c r="F196" s="30">
        <f>IF(OR($C196="",F$5=""),"",COUNTIFS(tblPresences[Étudiant],$C196,tblPresences[Code matière],F$5,tblPresences[Statut],"A"))</f>
        <v>0</v>
      </c>
      <c r="G196" s="30">
        <f>IF(OR($C196="",G$5=""),"",COUNTIFS(tblPresences[Étudiant],$C196,tblPresences[Code matière],G$5,tblPresences[Statut],"A"))</f>
        <v>0</v>
      </c>
      <c r="H196" s="30">
        <f>IF(OR($C196="",H$5=""),"",COUNTIFS(tblPresences[Étudiant],$C196,tblPresences[Code matière],H$5,tblPresences[Statut],"A"))</f>
        <v>0</v>
      </c>
      <c r="I196" s="30">
        <f>IF(OR($C196="",I$5=""),"",COUNTIFS(tblPresences[Étudiant],$C196,tblPresences[Code matière],I$5,tblPresences[Statut],"A"))</f>
        <v>0</v>
      </c>
      <c r="J196" s="30">
        <f>IF(OR($C196="",J$5=""),"",COUNTIFS(tblPresences[Étudiant],$C196,tblPresences[Code matière],J$5,tblPresences[Statut],"A"))</f>
        <v>0</v>
      </c>
      <c r="K196" s="30">
        <f>IF(OR($C196="",K$5=""),"",COUNTIFS(tblPresences[Étudiant],$C196,tblPresences[Code matière],K$5,tblPresences[Statut],"A"))</f>
        <v>0</v>
      </c>
      <c r="L196" s="30">
        <f>IF(OR($C196="",L$5=""),"",COUNTIFS(tblPresences[Étudiant],$C196,tblPresences[Code matière],L$5,tblPresences[Statut],"A"))</f>
        <v>0</v>
      </c>
      <c r="M196" s="30">
        <f>IF(OR($C196="",M$5=""),"",COUNTIFS(tblPresences[Étudiant],$C196,tblPresences[Code matière],M$5,tblPresences[Statut],"A"))</f>
        <v>0</v>
      </c>
      <c r="N196" s="30">
        <f>IF(OR($C196="",N$5=""),"",COUNTIFS(tblPresences[Étudiant],$C196,tblPresences[Code matière],N$5,tblPresences[Statut],"A"))</f>
        <v>0</v>
      </c>
      <c r="O196" s="30">
        <f>IF(OR($C196="",O$5=""),"",COUNTIFS(tblPresences[Étudiant],$C196,tblPresences[Code matière],O$5,tblPresences[Statut],"A"))</f>
        <v>0</v>
      </c>
      <c r="P196" s="30">
        <f>IF(OR($C196="",P$5=""),"",COUNTIFS(tblPresences[Étudiant],$C196,tblPresences[Code matière],P$5,tblPresences[Statut],"A"))</f>
        <v>0</v>
      </c>
      <c r="Q196" s="31">
        <f>IF(C196="","",SUM(E196:P196))</f>
        <v>0</v>
      </c>
      <c r="R196" s="30">
        <f>IF(C196="","",COUNTIFS(tblPresences[Étudiant],C196,tblPresences[Statut],"R"))</f>
        <v>0</v>
      </c>
      <c r="S196" s="124">
        <f>IF(C196="","",IFERROR((COUNTIFS(tblPresences[Étudiant],C196,tblPresences[Statut],"P")+COUNTIFS(tblPresences[Étudiant],C196,tblPresences[Statut],"R"))/COUNTIF(tblPresences[Étudiant],C196),""))</f>
        <v>0</v>
      </c>
      <c r="T196" s="30">
        <f>IF(C196="","",MAX(E196:P196))</f>
        <v>0</v>
      </c>
      <c r="U196" s="148">
        <f>IF(C196="","",IF(T196&gt;pSeuil,"⚠ ALERTE",""))</f>
        <v>0</v>
      </c>
    </row>
    <row r="197" spans="2:21">
      <c r="B197" s="145">
        <f>IF(C197="","",191)</f>
        <v>0</v>
      </c>
      <c r="C197" s="29">
        <f>IFERROR(INDEX(tblEtudiants[Nom et prénoms],191)&amp;"","")</f>
        <v>0</v>
      </c>
      <c r="D197" s="27">
        <f>IF(C197="","",INDEX(tblEtudiants[Groupe],191)&amp;"")</f>
        <v>0</v>
      </c>
      <c r="E197" s="27">
        <f>IF(OR($C197="",E$5=""),"",COUNTIFS(tblPresences[Étudiant],$C197,tblPresences[Code matière],E$5,tblPresences[Statut],"A"))</f>
        <v>0</v>
      </c>
      <c r="F197" s="27">
        <f>IF(OR($C197="",F$5=""),"",COUNTIFS(tblPresences[Étudiant],$C197,tblPresences[Code matière],F$5,tblPresences[Statut],"A"))</f>
        <v>0</v>
      </c>
      <c r="G197" s="27">
        <f>IF(OR($C197="",G$5=""),"",COUNTIFS(tblPresences[Étudiant],$C197,tblPresences[Code matière],G$5,tblPresences[Statut],"A"))</f>
        <v>0</v>
      </c>
      <c r="H197" s="27">
        <f>IF(OR($C197="",H$5=""),"",COUNTIFS(tblPresences[Étudiant],$C197,tblPresences[Code matière],H$5,tblPresences[Statut],"A"))</f>
        <v>0</v>
      </c>
      <c r="I197" s="27">
        <f>IF(OR($C197="",I$5=""),"",COUNTIFS(tblPresences[Étudiant],$C197,tblPresences[Code matière],I$5,tblPresences[Statut],"A"))</f>
        <v>0</v>
      </c>
      <c r="J197" s="27">
        <f>IF(OR($C197="",J$5=""),"",COUNTIFS(tblPresences[Étudiant],$C197,tblPresences[Code matière],J$5,tblPresences[Statut],"A"))</f>
        <v>0</v>
      </c>
      <c r="K197" s="27">
        <f>IF(OR($C197="",K$5=""),"",COUNTIFS(tblPresences[Étudiant],$C197,tblPresences[Code matière],K$5,tblPresences[Statut],"A"))</f>
        <v>0</v>
      </c>
      <c r="L197" s="27">
        <f>IF(OR($C197="",L$5=""),"",COUNTIFS(tblPresences[Étudiant],$C197,tblPresences[Code matière],L$5,tblPresences[Statut],"A"))</f>
        <v>0</v>
      </c>
      <c r="M197" s="27">
        <f>IF(OR($C197="",M$5=""),"",COUNTIFS(tblPresences[Étudiant],$C197,tblPresences[Code matière],M$5,tblPresences[Statut],"A"))</f>
        <v>0</v>
      </c>
      <c r="N197" s="27">
        <f>IF(OR($C197="",N$5=""),"",COUNTIFS(tblPresences[Étudiant],$C197,tblPresences[Code matière],N$5,tblPresences[Statut],"A"))</f>
        <v>0</v>
      </c>
      <c r="O197" s="27">
        <f>IF(OR($C197="",O$5=""),"",COUNTIFS(tblPresences[Étudiant],$C197,tblPresences[Code matière],O$5,tblPresences[Statut],"A"))</f>
        <v>0</v>
      </c>
      <c r="P197" s="27">
        <f>IF(OR($C197="",P$5=""),"",COUNTIFS(tblPresences[Étudiant],$C197,tblPresences[Code matière],P$5,tblPresences[Statut],"A"))</f>
        <v>0</v>
      </c>
      <c r="Q197" s="28">
        <f>IF(C197="","",SUM(E197:P197))</f>
        <v>0</v>
      </c>
      <c r="R197" s="27">
        <f>IF(C197="","",COUNTIFS(tblPresences[Étudiant],C197,tblPresences[Statut],"R"))</f>
        <v>0</v>
      </c>
      <c r="S197" s="123">
        <f>IF(C197="","",IFERROR((COUNTIFS(tblPresences[Étudiant],C197,tblPresences[Statut],"P")+COUNTIFS(tblPresences[Étudiant],C197,tblPresences[Statut],"R"))/COUNTIF(tblPresences[Étudiant],C197),""))</f>
        <v>0</v>
      </c>
      <c r="T197" s="27">
        <f>IF(C197="","",MAX(E197:P197))</f>
        <v>0</v>
      </c>
      <c r="U197" s="146">
        <f>IF(C197="","",IF(T197&gt;pSeuil,"⚠ ALERTE",""))</f>
        <v>0</v>
      </c>
    </row>
    <row r="198" spans="2:21">
      <c r="B198" s="147">
        <f>IF(C198="","",192)</f>
        <v>0</v>
      </c>
      <c r="C198" s="32">
        <f>IFERROR(INDEX(tblEtudiants[Nom et prénoms],192)&amp;"","")</f>
        <v>0</v>
      </c>
      <c r="D198" s="30">
        <f>IF(C198="","",INDEX(tblEtudiants[Groupe],192)&amp;"")</f>
        <v>0</v>
      </c>
      <c r="E198" s="30">
        <f>IF(OR($C198="",E$5=""),"",COUNTIFS(tblPresences[Étudiant],$C198,tblPresences[Code matière],E$5,tblPresences[Statut],"A"))</f>
        <v>0</v>
      </c>
      <c r="F198" s="30">
        <f>IF(OR($C198="",F$5=""),"",COUNTIFS(tblPresences[Étudiant],$C198,tblPresences[Code matière],F$5,tblPresences[Statut],"A"))</f>
        <v>0</v>
      </c>
      <c r="G198" s="30">
        <f>IF(OR($C198="",G$5=""),"",COUNTIFS(tblPresences[Étudiant],$C198,tblPresences[Code matière],G$5,tblPresences[Statut],"A"))</f>
        <v>0</v>
      </c>
      <c r="H198" s="30">
        <f>IF(OR($C198="",H$5=""),"",COUNTIFS(tblPresences[Étudiant],$C198,tblPresences[Code matière],H$5,tblPresences[Statut],"A"))</f>
        <v>0</v>
      </c>
      <c r="I198" s="30">
        <f>IF(OR($C198="",I$5=""),"",COUNTIFS(tblPresences[Étudiant],$C198,tblPresences[Code matière],I$5,tblPresences[Statut],"A"))</f>
        <v>0</v>
      </c>
      <c r="J198" s="30">
        <f>IF(OR($C198="",J$5=""),"",COUNTIFS(tblPresences[Étudiant],$C198,tblPresences[Code matière],J$5,tblPresences[Statut],"A"))</f>
        <v>0</v>
      </c>
      <c r="K198" s="30">
        <f>IF(OR($C198="",K$5=""),"",COUNTIFS(tblPresences[Étudiant],$C198,tblPresences[Code matière],K$5,tblPresences[Statut],"A"))</f>
        <v>0</v>
      </c>
      <c r="L198" s="30">
        <f>IF(OR($C198="",L$5=""),"",COUNTIFS(tblPresences[Étudiant],$C198,tblPresences[Code matière],L$5,tblPresences[Statut],"A"))</f>
        <v>0</v>
      </c>
      <c r="M198" s="30">
        <f>IF(OR($C198="",M$5=""),"",COUNTIFS(tblPresences[Étudiant],$C198,tblPresences[Code matière],M$5,tblPresences[Statut],"A"))</f>
        <v>0</v>
      </c>
      <c r="N198" s="30">
        <f>IF(OR($C198="",N$5=""),"",COUNTIFS(tblPresences[Étudiant],$C198,tblPresences[Code matière],N$5,tblPresences[Statut],"A"))</f>
        <v>0</v>
      </c>
      <c r="O198" s="30">
        <f>IF(OR($C198="",O$5=""),"",COUNTIFS(tblPresences[Étudiant],$C198,tblPresences[Code matière],O$5,tblPresences[Statut],"A"))</f>
        <v>0</v>
      </c>
      <c r="P198" s="30">
        <f>IF(OR($C198="",P$5=""),"",COUNTIFS(tblPresences[Étudiant],$C198,tblPresences[Code matière],P$5,tblPresences[Statut],"A"))</f>
        <v>0</v>
      </c>
      <c r="Q198" s="31">
        <f>IF(C198="","",SUM(E198:P198))</f>
        <v>0</v>
      </c>
      <c r="R198" s="30">
        <f>IF(C198="","",COUNTIFS(tblPresences[Étudiant],C198,tblPresences[Statut],"R"))</f>
        <v>0</v>
      </c>
      <c r="S198" s="124">
        <f>IF(C198="","",IFERROR((COUNTIFS(tblPresences[Étudiant],C198,tblPresences[Statut],"P")+COUNTIFS(tblPresences[Étudiant],C198,tblPresences[Statut],"R"))/COUNTIF(tblPresences[Étudiant],C198),""))</f>
        <v>0</v>
      </c>
      <c r="T198" s="30">
        <f>IF(C198="","",MAX(E198:P198))</f>
        <v>0</v>
      </c>
      <c r="U198" s="148">
        <f>IF(C198="","",IF(T198&gt;pSeuil,"⚠ ALERTE",""))</f>
        <v>0</v>
      </c>
    </row>
    <row r="199" spans="2:21">
      <c r="B199" s="145">
        <f>IF(C199="","",193)</f>
        <v>0</v>
      </c>
      <c r="C199" s="29">
        <f>IFERROR(INDEX(tblEtudiants[Nom et prénoms],193)&amp;"","")</f>
        <v>0</v>
      </c>
      <c r="D199" s="27">
        <f>IF(C199="","",INDEX(tblEtudiants[Groupe],193)&amp;"")</f>
        <v>0</v>
      </c>
      <c r="E199" s="27">
        <f>IF(OR($C199="",E$5=""),"",COUNTIFS(tblPresences[Étudiant],$C199,tblPresences[Code matière],E$5,tblPresences[Statut],"A"))</f>
        <v>0</v>
      </c>
      <c r="F199" s="27">
        <f>IF(OR($C199="",F$5=""),"",COUNTIFS(tblPresences[Étudiant],$C199,tblPresences[Code matière],F$5,tblPresences[Statut],"A"))</f>
        <v>0</v>
      </c>
      <c r="G199" s="27">
        <f>IF(OR($C199="",G$5=""),"",COUNTIFS(tblPresences[Étudiant],$C199,tblPresences[Code matière],G$5,tblPresences[Statut],"A"))</f>
        <v>0</v>
      </c>
      <c r="H199" s="27">
        <f>IF(OR($C199="",H$5=""),"",COUNTIFS(tblPresences[Étudiant],$C199,tblPresences[Code matière],H$5,tblPresences[Statut],"A"))</f>
        <v>0</v>
      </c>
      <c r="I199" s="27">
        <f>IF(OR($C199="",I$5=""),"",COUNTIFS(tblPresences[Étudiant],$C199,tblPresences[Code matière],I$5,tblPresences[Statut],"A"))</f>
        <v>0</v>
      </c>
      <c r="J199" s="27">
        <f>IF(OR($C199="",J$5=""),"",COUNTIFS(tblPresences[Étudiant],$C199,tblPresences[Code matière],J$5,tblPresences[Statut],"A"))</f>
        <v>0</v>
      </c>
      <c r="K199" s="27">
        <f>IF(OR($C199="",K$5=""),"",COUNTIFS(tblPresences[Étudiant],$C199,tblPresences[Code matière],K$5,tblPresences[Statut],"A"))</f>
        <v>0</v>
      </c>
      <c r="L199" s="27">
        <f>IF(OR($C199="",L$5=""),"",COUNTIFS(tblPresences[Étudiant],$C199,tblPresences[Code matière],L$5,tblPresences[Statut],"A"))</f>
        <v>0</v>
      </c>
      <c r="M199" s="27">
        <f>IF(OR($C199="",M$5=""),"",COUNTIFS(tblPresences[Étudiant],$C199,tblPresences[Code matière],M$5,tblPresences[Statut],"A"))</f>
        <v>0</v>
      </c>
      <c r="N199" s="27">
        <f>IF(OR($C199="",N$5=""),"",COUNTIFS(tblPresences[Étudiant],$C199,tblPresences[Code matière],N$5,tblPresences[Statut],"A"))</f>
        <v>0</v>
      </c>
      <c r="O199" s="27">
        <f>IF(OR($C199="",O$5=""),"",COUNTIFS(tblPresences[Étudiant],$C199,tblPresences[Code matière],O$5,tblPresences[Statut],"A"))</f>
        <v>0</v>
      </c>
      <c r="P199" s="27">
        <f>IF(OR($C199="",P$5=""),"",COUNTIFS(tblPresences[Étudiant],$C199,tblPresences[Code matière],P$5,tblPresences[Statut],"A"))</f>
        <v>0</v>
      </c>
      <c r="Q199" s="28">
        <f>IF(C199="","",SUM(E199:P199))</f>
        <v>0</v>
      </c>
      <c r="R199" s="27">
        <f>IF(C199="","",COUNTIFS(tblPresences[Étudiant],C199,tblPresences[Statut],"R"))</f>
        <v>0</v>
      </c>
      <c r="S199" s="123">
        <f>IF(C199="","",IFERROR((COUNTIFS(tblPresences[Étudiant],C199,tblPresences[Statut],"P")+COUNTIFS(tblPresences[Étudiant],C199,tblPresences[Statut],"R"))/COUNTIF(tblPresences[Étudiant],C199),""))</f>
        <v>0</v>
      </c>
      <c r="T199" s="27">
        <f>IF(C199="","",MAX(E199:P199))</f>
        <v>0</v>
      </c>
      <c r="U199" s="146">
        <f>IF(C199="","",IF(T199&gt;pSeuil,"⚠ ALERTE",""))</f>
        <v>0</v>
      </c>
    </row>
    <row r="200" spans="2:21">
      <c r="B200" s="147">
        <f>IF(C200="","",194)</f>
        <v>0</v>
      </c>
      <c r="C200" s="32">
        <f>IFERROR(INDEX(tblEtudiants[Nom et prénoms],194)&amp;"","")</f>
        <v>0</v>
      </c>
      <c r="D200" s="30">
        <f>IF(C200="","",INDEX(tblEtudiants[Groupe],194)&amp;"")</f>
        <v>0</v>
      </c>
      <c r="E200" s="30">
        <f>IF(OR($C200="",E$5=""),"",COUNTIFS(tblPresences[Étudiant],$C200,tblPresences[Code matière],E$5,tblPresences[Statut],"A"))</f>
        <v>0</v>
      </c>
      <c r="F200" s="30">
        <f>IF(OR($C200="",F$5=""),"",COUNTIFS(tblPresences[Étudiant],$C200,tblPresences[Code matière],F$5,tblPresences[Statut],"A"))</f>
        <v>0</v>
      </c>
      <c r="G200" s="30">
        <f>IF(OR($C200="",G$5=""),"",COUNTIFS(tblPresences[Étudiant],$C200,tblPresences[Code matière],G$5,tblPresences[Statut],"A"))</f>
        <v>0</v>
      </c>
      <c r="H200" s="30">
        <f>IF(OR($C200="",H$5=""),"",COUNTIFS(tblPresences[Étudiant],$C200,tblPresences[Code matière],H$5,tblPresences[Statut],"A"))</f>
        <v>0</v>
      </c>
      <c r="I200" s="30">
        <f>IF(OR($C200="",I$5=""),"",COUNTIFS(tblPresences[Étudiant],$C200,tblPresences[Code matière],I$5,tblPresences[Statut],"A"))</f>
        <v>0</v>
      </c>
      <c r="J200" s="30">
        <f>IF(OR($C200="",J$5=""),"",COUNTIFS(tblPresences[Étudiant],$C200,tblPresences[Code matière],J$5,tblPresences[Statut],"A"))</f>
        <v>0</v>
      </c>
      <c r="K200" s="30">
        <f>IF(OR($C200="",K$5=""),"",COUNTIFS(tblPresences[Étudiant],$C200,tblPresences[Code matière],K$5,tblPresences[Statut],"A"))</f>
        <v>0</v>
      </c>
      <c r="L200" s="30">
        <f>IF(OR($C200="",L$5=""),"",COUNTIFS(tblPresences[Étudiant],$C200,tblPresences[Code matière],L$5,tblPresences[Statut],"A"))</f>
        <v>0</v>
      </c>
      <c r="M200" s="30">
        <f>IF(OR($C200="",M$5=""),"",COUNTIFS(tblPresences[Étudiant],$C200,tblPresences[Code matière],M$5,tblPresences[Statut],"A"))</f>
        <v>0</v>
      </c>
      <c r="N200" s="30">
        <f>IF(OR($C200="",N$5=""),"",COUNTIFS(tblPresences[Étudiant],$C200,tblPresences[Code matière],N$5,tblPresences[Statut],"A"))</f>
        <v>0</v>
      </c>
      <c r="O200" s="30">
        <f>IF(OR($C200="",O$5=""),"",COUNTIFS(tblPresences[Étudiant],$C200,tblPresences[Code matière],O$5,tblPresences[Statut],"A"))</f>
        <v>0</v>
      </c>
      <c r="P200" s="30">
        <f>IF(OR($C200="",P$5=""),"",COUNTIFS(tblPresences[Étudiant],$C200,tblPresences[Code matière],P$5,tblPresences[Statut],"A"))</f>
        <v>0</v>
      </c>
      <c r="Q200" s="31">
        <f>IF(C200="","",SUM(E200:P200))</f>
        <v>0</v>
      </c>
      <c r="R200" s="30">
        <f>IF(C200="","",COUNTIFS(tblPresences[Étudiant],C200,tblPresences[Statut],"R"))</f>
        <v>0</v>
      </c>
      <c r="S200" s="124">
        <f>IF(C200="","",IFERROR((COUNTIFS(tblPresences[Étudiant],C200,tblPresences[Statut],"P")+COUNTIFS(tblPresences[Étudiant],C200,tblPresences[Statut],"R"))/COUNTIF(tblPresences[Étudiant],C200),""))</f>
        <v>0</v>
      </c>
      <c r="T200" s="30">
        <f>IF(C200="","",MAX(E200:P200))</f>
        <v>0</v>
      </c>
      <c r="U200" s="148">
        <f>IF(C200="","",IF(T200&gt;pSeuil,"⚠ ALERTE",""))</f>
        <v>0</v>
      </c>
    </row>
    <row r="201" spans="2:21">
      <c r="B201" s="145">
        <f>IF(C201="","",195)</f>
        <v>0</v>
      </c>
      <c r="C201" s="29">
        <f>IFERROR(INDEX(tblEtudiants[Nom et prénoms],195)&amp;"","")</f>
        <v>0</v>
      </c>
      <c r="D201" s="27">
        <f>IF(C201="","",INDEX(tblEtudiants[Groupe],195)&amp;"")</f>
        <v>0</v>
      </c>
      <c r="E201" s="27">
        <f>IF(OR($C201="",E$5=""),"",COUNTIFS(tblPresences[Étudiant],$C201,tblPresences[Code matière],E$5,tblPresences[Statut],"A"))</f>
        <v>0</v>
      </c>
      <c r="F201" s="27">
        <f>IF(OR($C201="",F$5=""),"",COUNTIFS(tblPresences[Étudiant],$C201,tblPresences[Code matière],F$5,tblPresences[Statut],"A"))</f>
        <v>0</v>
      </c>
      <c r="G201" s="27">
        <f>IF(OR($C201="",G$5=""),"",COUNTIFS(tblPresences[Étudiant],$C201,tblPresences[Code matière],G$5,tblPresences[Statut],"A"))</f>
        <v>0</v>
      </c>
      <c r="H201" s="27">
        <f>IF(OR($C201="",H$5=""),"",COUNTIFS(tblPresences[Étudiant],$C201,tblPresences[Code matière],H$5,tblPresences[Statut],"A"))</f>
        <v>0</v>
      </c>
      <c r="I201" s="27">
        <f>IF(OR($C201="",I$5=""),"",COUNTIFS(tblPresences[Étudiant],$C201,tblPresences[Code matière],I$5,tblPresences[Statut],"A"))</f>
        <v>0</v>
      </c>
      <c r="J201" s="27">
        <f>IF(OR($C201="",J$5=""),"",COUNTIFS(tblPresences[Étudiant],$C201,tblPresences[Code matière],J$5,tblPresences[Statut],"A"))</f>
        <v>0</v>
      </c>
      <c r="K201" s="27">
        <f>IF(OR($C201="",K$5=""),"",COUNTIFS(tblPresences[Étudiant],$C201,tblPresences[Code matière],K$5,tblPresences[Statut],"A"))</f>
        <v>0</v>
      </c>
      <c r="L201" s="27">
        <f>IF(OR($C201="",L$5=""),"",COUNTIFS(tblPresences[Étudiant],$C201,tblPresences[Code matière],L$5,tblPresences[Statut],"A"))</f>
        <v>0</v>
      </c>
      <c r="M201" s="27">
        <f>IF(OR($C201="",M$5=""),"",COUNTIFS(tblPresences[Étudiant],$C201,tblPresences[Code matière],M$5,tblPresences[Statut],"A"))</f>
        <v>0</v>
      </c>
      <c r="N201" s="27">
        <f>IF(OR($C201="",N$5=""),"",COUNTIFS(tblPresences[Étudiant],$C201,tblPresences[Code matière],N$5,tblPresences[Statut],"A"))</f>
        <v>0</v>
      </c>
      <c r="O201" s="27">
        <f>IF(OR($C201="",O$5=""),"",COUNTIFS(tblPresences[Étudiant],$C201,tblPresences[Code matière],O$5,tblPresences[Statut],"A"))</f>
        <v>0</v>
      </c>
      <c r="P201" s="27">
        <f>IF(OR($C201="",P$5=""),"",COUNTIFS(tblPresences[Étudiant],$C201,tblPresences[Code matière],P$5,tblPresences[Statut],"A"))</f>
        <v>0</v>
      </c>
      <c r="Q201" s="28">
        <f>IF(C201="","",SUM(E201:P201))</f>
        <v>0</v>
      </c>
      <c r="R201" s="27">
        <f>IF(C201="","",COUNTIFS(tblPresences[Étudiant],C201,tblPresences[Statut],"R"))</f>
        <v>0</v>
      </c>
      <c r="S201" s="123">
        <f>IF(C201="","",IFERROR((COUNTIFS(tblPresences[Étudiant],C201,tblPresences[Statut],"P")+COUNTIFS(tblPresences[Étudiant],C201,tblPresences[Statut],"R"))/COUNTIF(tblPresences[Étudiant],C201),""))</f>
        <v>0</v>
      </c>
      <c r="T201" s="27">
        <f>IF(C201="","",MAX(E201:P201))</f>
        <v>0</v>
      </c>
      <c r="U201" s="146">
        <f>IF(C201="","",IF(T201&gt;pSeuil,"⚠ ALERTE",""))</f>
        <v>0</v>
      </c>
    </row>
    <row r="202" spans="2:21">
      <c r="B202" s="147">
        <f>IF(C202="","",196)</f>
        <v>0</v>
      </c>
      <c r="C202" s="32">
        <f>IFERROR(INDEX(tblEtudiants[Nom et prénoms],196)&amp;"","")</f>
        <v>0</v>
      </c>
      <c r="D202" s="30">
        <f>IF(C202="","",INDEX(tblEtudiants[Groupe],196)&amp;"")</f>
        <v>0</v>
      </c>
      <c r="E202" s="30">
        <f>IF(OR($C202="",E$5=""),"",COUNTIFS(tblPresences[Étudiant],$C202,tblPresences[Code matière],E$5,tblPresences[Statut],"A"))</f>
        <v>0</v>
      </c>
      <c r="F202" s="30">
        <f>IF(OR($C202="",F$5=""),"",COUNTIFS(tblPresences[Étudiant],$C202,tblPresences[Code matière],F$5,tblPresences[Statut],"A"))</f>
        <v>0</v>
      </c>
      <c r="G202" s="30">
        <f>IF(OR($C202="",G$5=""),"",COUNTIFS(tblPresences[Étudiant],$C202,tblPresences[Code matière],G$5,tblPresences[Statut],"A"))</f>
        <v>0</v>
      </c>
      <c r="H202" s="30">
        <f>IF(OR($C202="",H$5=""),"",COUNTIFS(tblPresences[Étudiant],$C202,tblPresences[Code matière],H$5,tblPresences[Statut],"A"))</f>
        <v>0</v>
      </c>
      <c r="I202" s="30">
        <f>IF(OR($C202="",I$5=""),"",COUNTIFS(tblPresences[Étudiant],$C202,tblPresences[Code matière],I$5,tblPresences[Statut],"A"))</f>
        <v>0</v>
      </c>
      <c r="J202" s="30">
        <f>IF(OR($C202="",J$5=""),"",COUNTIFS(tblPresences[Étudiant],$C202,tblPresences[Code matière],J$5,tblPresences[Statut],"A"))</f>
        <v>0</v>
      </c>
      <c r="K202" s="30">
        <f>IF(OR($C202="",K$5=""),"",COUNTIFS(tblPresences[Étudiant],$C202,tblPresences[Code matière],K$5,tblPresences[Statut],"A"))</f>
        <v>0</v>
      </c>
      <c r="L202" s="30">
        <f>IF(OR($C202="",L$5=""),"",COUNTIFS(tblPresences[Étudiant],$C202,tblPresences[Code matière],L$5,tblPresences[Statut],"A"))</f>
        <v>0</v>
      </c>
      <c r="M202" s="30">
        <f>IF(OR($C202="",M$5=""),"",COUNTIFS(tblPresences[Étudiant],$C202,tblPresences[Code matière],M$5,tblPresences[Statut],"A"))</f>
        <v>0</v>
      </c>
      <c r="N202" s="30">
        <f>IF(OR($C202="",N$5=""),"",COUNTIFS(tblPresences[Étudiant],$C202,tblPresences[Code matière],N$5,tblPresences[Statut],"A"))</f>
        <v>0</v>
      </c>
      <c r="O202" s="30">
        <f>IF(OR($C202="",O$5=""),"",COUNTIFS(tblPresences[Étudiant],$C202,tblPresences[Code matière],O$5,tblPresences[Statut],"A"))</f>
        <v>0</v>
      </c>
      <c r="P202" s="30">
        <f>IF(OR($C202="",P$5=""),"",COUNTIFS(tblPresences[Étudiant],$C202,tblPresences[Code matière],P$5,tblPresences[Statut],"A"))</f>
        <v>0</v>
      </c>
      <c r="Q202" s="31">
        <f>IF(C202="","",SUM(E202:P202))</f>
        <v>0</v>
      </c>
      <c r="R202" s="30">
        <f>IF(C202="","",COUNTIFS(tblPresences[Étudiant],C202,tblPresences[Statut],"R"))</f>
        <v>0</v>
      </c>
      <c r="S202" s="124">
        <f>IF(C202="","",IFERROR((COUNTIFS(tblPresences[Étudiant],C202,tblPresences[Statut],"P")+COUNTIFS(tblPresences[Étudiant],C202,tblPresences[Statut],"R"))/COUNTIF(tblPresences[Étudiant],C202),""))</f>
        <v>0</v>
      </c>
      <c r="T202" s="30">
        <f>IF(C202="","",MAX(E202:P202))</f>
        <v>0</v>
      </c>
      <c r="U202" s="148">
        <f>IF(C202="","",IF(T202&gt;pSeuil,"⚠ ALERTE",""))</f>
        <v>0</v>
      </c>
    </row>
    <row r="203" spans="2:21">
      <c r="B203" s="145">
        <f>IF(C203="","",197)</f>
        <v>0</v>
      </c>
      <c r="C203" s="29">
        <f>IFERROR(INDEX(tblEtudiants[Nom et prénoms],197)&amp;"","")</f>
        <v>0</v>
      </c>
      <c r="D203" s="27">
        <f>IF(C203="","",INDEX(tblEtudiants[Groupe],197)&amp;"")</f>
        <v>0</v>
      </c>
      <c r="E203" s="27">
        <f>IF(OR($C203="",E$5=""),"",COUNTIFS(tblPresences[Étudiant],$C203,tblPresences[Code matière],E$5,tblPresences[Statut],"A"))</f>
        <v>0</v>
      </c>
      <c r="F203" s="27">
        <f>IF(OR($C203="",F$5=""),"",COUNTIFS(tblPresences[Étudiant],$C203,tblPresences[Code matière],F$5,tblPresences[Statut],"A"))</f>
        <v>0</v>
      </c>
      <c r="G203" s="27">
        <f>IF(OR($C203="",G$5=""),"",COUNTIFS(tblPresences[Étudiant],$C203,tblPresences[Code matière],G$5,tblPresences[Statut],"A"))</f>
        <v>0</v>
      </c>
      <c r="H203" s="27">
        <f>IF(OR($C203="",H$5=""),"",COUNTIFS(tblPresences[Étudiant],$C203,tblPresences[Code matière],H$5,tblPresences[Statut],"A"))</f>
        <v>0</v>
      </c>
      <c r="I203" s="27">
        <f>IF(OR($C203="",I$5=""),"",COUNTIFS(tblPresences[Étudiant],$C203,tblPresences[Code matière],I$5,tblPresences[Statut],"A"))</f>
        <v>0</v>
      </c>
      <c r="J203" s="27">
        <f>IF(OR($C203="",J$5=""),"",COUNTIFS(tblPresences[Étudiant],$C203,tblPresences[Code matière],J$5,tblPresences[Statut],"A"))</f>
        <v>0</v>
      </c>
      <c r="K203" s="27">
        <f>IF(OR($C203="",K$5=""),"",COUNTIFS(tblPresences[Étudiant],$C203,tblPresences[Code matière],K$5,tblPresences[Statut],"A"))</f>
        <v>0</v>
      </c>
      <c r="L203" s="27">
        <f>IF(OR($C203="",L$5=""),"",COUNTIFS(tblPresences[Étudiant],$C203,tblPresences[Code matière],L$5,tblPresences[Statut],"A"))</f>
        <v>0</v>
      </c>
      <c r="M203" s="27">
        <f>IF(OR($C203="",M$5=""),"",COUNTIFS(tblPresences[Étudiant],$C203,tblPresences[Code matière],M$5,tblPresences[Statut],"A"))</f>
        <v>0</v>
      </c>
      <c r="N203" s="27">
        <f>IF(OR($C203="",N$5=""),"",COUNTIFS(tblPresences[Étudiant],$C203,tblPresences[Code matière],N$5,tblPresences[Statut],"A"))</f>
        <v>0</v>
      </c>
      <c r="O203" s="27">
        <f>IF(OR($C203="",O$5=""),"",COUNTIFS(tblPresences[Étudiant],$C203,tblPresences[Code matière],O$5,tblPresences[Statut],"A"))</f>
        <v>0</v>
      </c>
      <c r="P203" s="27">
        <f>IF(OR($C203="",P$5=""),"",COUNTIFS(tblPresences[Étudiant],$C203,tblPresences[Code matière],P$5,tblPresences[Statut],"A"))</f>
        <v>0</v>
      </c>
      <c r="Q203" s="28">
        <f>IF(C203="","",SUM(E203:P203))</f>
        <v>0</v>
      </c>
      <c r="R203" s="27">
        <f>IF(C203="","",COUNTIFS(tblPresences[Étudiant],C203,tblPresences[Statut],"R"))</f>
        <v>0</v>
      </c>
      <c r="S203" s="123">
        <f>IF(C203="","",IFERROR((COUNTIFS(tblPresences[Étudiant],C203,tblPresences[Statut],"P")+COUNTIFS(tblPresences[Étudiant],C203,tblPresences[Statut],"R"))/COUNTIF(tblPresences[Étudiant],C203),""))</f>
        <v>0</v>
      </c>
      <c r="T203" s="27">
        <f>IF(C203="","",MAX(E203:P203))</f>
        <v>0</v>
      </c>
      <c r="U203" s="146">
        <f>IF(C203="","",IF(T203&gt;pSeuil,"⚠ ALERTE",""))</f>
        <v>0</v>
      </c>
    </row>
    <row r="204" spans="2:21">
      <c r="B204" s="147">
        <f>IF(C204="","",198)</f>
        <v>0</v>
      </c>
      <c r="C204" s="32">
        <f>IFERROR(INDEX(tblEtudiants[Nom et prénoms],198)&amp;"","")</f>
        <v>0</v>
      </c>
      <c r="D204" s="30">
        <f>IF(C204="","",INDEX(tblEtudiants[Groupe],198)&amp;"")</f>
        <v>0</v>
      </c>
      <c r="E204" s="30">
        <f>IF(OR($C204="",E$5=""),"",COUNTIFS(tblPresences[Étudiant],$C204,tblPresences[Code matière],E$5,tblPresences[Statut],"A"))</f>
        <v>0</v>
      </c>
      <c r="F204" s="30">
        <f>IF(OR($C204="",F$5=""),"",COUNTIFS(tblPresences[Étudiant],$C204,tblPresences[Code matière],F$5,tblPresences[Statut],"A"))</f>
        <v>0</v>
      </c>
      <c r="G204" s="30">
        <f>IF(OR($C204="",G$5=""),"",COUNTIFS(tblPresences[Étudiant],$C204,tblPresences[Code matière],G$5,tblPresences[Statut],"A"))</f>
        <v>0</v>
      </c>
      <c r="H204" s="30">
        <f>IF(OR($C204="",H$5=""),"",COUNTIFS(tblPresences[Étudiant],$C204,tblPresences[Code matière],H$5,tblPresences[Statut],"A"))</f>
        <v>0</v>
      </c>
      <c r="I204" s="30">
        <f>IF(OR($C204="",I$5=""),"",COUNTIFS(tblPresences[Étudiant],$C204,tblPresences[Code matière],I$5,tblPresences[Statut],"A"))</f>
        <v>0</v>
      </c>
      <c r="J204" s="30">
        <f>IF(OR($C204="",J$5=""),"",COUNTIFS(tblPresences[Étudiant],$C204,tblPresences[Code matière],J$5,tblPresences[Statut],"A"))</f>
        <v>0</v>
      </c>
      <c r="K204" s="30">
        <f>IF(OR($C204="",K$5=""),"",COUNTIFS(tblPresences[Étudiant],$C204,tblPresences[Code matière],K$5,tblPresences[Statut],"A"))</f>
        <v>0</v>
      </c>
      <c r="L204" s="30">
        <f>IF(OR($C204="",L$5=""),"",COUNTIFS(tblPresences[Étudiant],$C204,tblPresences[Code matière],L$5,tblPresences[Statut],"A"))</f>
        <v>0</v>
      </c>
      <c r="M204" s="30">
        <f>IF(OR($C204="",M$5=""),"",COUNTIFS(tblPresences[Étudiant],$C204,tblPresences[Code matière],M$5,tblPresences[Statut],"A"))</f>
        <v>0</v>
      </c>
      <c r="N204" s="30">
        <f>IF(OR($C204="",N$5=""),"",COUNTIFS(tblPresences[Étudiant],$C204,tblPresences[Code matière],N$5,tblPresences[Statut],"A"))</f>
        <v>0</v>
      </c>
      <c r="O204" s="30">
        <f>IF(OR($C204="",O$5=""),"",COUNTIFS(tblPresences[Étudiant],$C204,tblPresences[Code matière],O$5,tblPresences[Statut],"A"))</f>
        <v>0</v>
      </c>
      <c r="P204" s="30">
        <f>IF(OR($C204="",P$5=""),"",COUNTIFS(tblPresences[Étudiant],$C204,tblPresences[Code matière],P$5,tblPresences[Statut],"A"))</f>
        <v>0</v>
      </c>
      <c r="Q204" s="31">
        <f>IF(C204="","",SUM(E204:P204))</f>
        <v>0</v>
      </c>
      <c r="R204" s="30">
        <f>IF(C204="","",COUNTIFS(tblPresences[Étudiant],C204,tblPresences[Statut],"R"))</f>
        <v>0</v>
      </c>
      <c r="S204" s="124">
        <f>IF(C204="","",IFERROR((COUNTIFS(tblPresences[Étudiant],C204,tblPresences[Statut],"P")+COUNTIFS(tblPresences[Étudiant],C204,tblPresences[Statut],"R"))/COUNTIF(tblPresences[Étudiant],C204),""))</f>
        <v>0</v>
      </c>
      <c r="T204" s="30">
        <f>IF(C204="","",MAX(E204:P204))</f>
        <v>0</v>
      </c>
      <c r="U204" s="148">
        <f>IF(C204="","",IF(T204&gt;pSeuil,"⚠ ALERTE",""))</f>
        <v>0</v>
      </c>
    </row>
    <row r="205" spans="2:21">
      <c r="B205" s="145">
        <f>IF(C205="","",199)</f>
        <v>0</v>
      </c>
      <c r="C205" s="29">
        <f>IFERROR(INDEX(tblEtudiants[Nom et prénoms],199)&amp;"","")</f>
        <v>0</v>
      </c>
      <c r="D205" s="27">
        <f>IF(C205="","",INDEX(tblEtudiants[Groupe],199)&amp;"")</f>
        <v>0</v>
      </c>
      <c r="E205" s="27">
        <f>IF(OR($C205="",E$5=""),"",COUNTIFS(tblPresences[Étudiant],$C205,tblPresences[Code matière],E$5,tblPresences[Statut],"A"))</f>
        <v>0</v>
      </c>
      <c r="F205" s="27">
        <f>IF(OR($C205="",F$5=""),"",COUNTIFS(tblPresences[Étudiant],$C205,tblPresences[Code matière],F$5,tblPresences[Statut],"A"))</f>
        <v>0</v>
      </c>
      <c r="G205" s="27">
        <f>IF(OR($C205="",G$5=""),"",COUNTIFS(tblPresences[Étudiant],$C205,tblPresences[Code matière],G$5,tblPresences[Statut],"A"))</f>
        <v>0</v>
      </c>
      <c r="H205" s="27">
        <f>IF(OR($C205="",H$5=""),"",COUNTIFS(tblPresences[Étudiant],$C205,tblPresences[Code matière],H$5,tblPresences[Statut],"A"))</f>
        <v>0</v>
      </c>
      <c r="I205" s="27">
        <f>IF(OR($C205="",I$5=""),"",COUNTIFS(tblPresences[Étudiant],$C205,tblPresences[Code matière],I$5,tblPresences[Statut],"A"))</f>
        <v>0</v>
      </c>
      <c r="J205" s="27">
        <f>IF(OR($C205="",J$5=""),"",COUNTIFS(tblPresences[Étudiant],$C205,tblPresences[Code matière],J$5,tblPresences[Statut],"A"))</f>
        <v>0</v>
      </c>
      <c r="K205" s="27">
        <f>IF(OR($C205="",K$5=""),"",COUNTIFS(tblPresences[Étudiant],$C205,tblPresences[Code matière],K$5,tblPresences[Statut],"A"))</f>
        <v>0</v>
      </c>
      <c r="L205" s="27">
        <f>IF(OR($C205="",L$5=""),"",COUNTIFS(tblPresences[Étudiant],$C205,tblPresences[Code matière],L$5,tblPresences[Statut],"A"))</f>
        <v>0</v>
      </c>
      <c r="M205" s="27">
        <f>IF(OR($C205="",M$5=""),"",COUNTIFS(tblPresences[Étudiant],$C205,tblPresences[Code matière],M$5,tblPresences[Statut],"A"))</f>
        <v>0</v>
      </c>
      <c r="N205" s="27">
        <f>IF(OR($C205="",N$5=""),"",COUNTIFS(tblPresences[Étudiant],$C205,tblPresences[Code matière],N$5,tblPresences[Statut],"A"))</f>
        <v>0</v>
      </c>
      <c r="O205" s="27">
        <f>IF(OR($C205="",O$5=""),"",COUNTIFS(tblPresences[Étudiant],$C205,tblPresences[Code matière],O$5,tblPresences[Statut],"A"))</f>
        <v>0</v>
      </c>
      <c r="P205" s="27">
        <f>IF(OR($C205="",P$5=""),"",COUNTIFS(tblPresences[Étudiant],$C205,tblPresences[Code matière],P$5,tblPresences[Statut],"A"))</f>
        <v>0</v>
      </c>
      <c r="Q205" s="28">
        <f>IF(C205="","",SUM(E205:P205))</f>
        <v>0</v>
      </c>
      <c r="R205" s="27">
        <f>IF(C205="","",COUNTIFS(tblPresences[Étudiant],C205,tblPresences[Statut],"R"))</f>
        <v>0</v>
      </c>
      <c r="S205" s="123">
        <f>IF(C205="","",IFERROR((COUNTIFS(tblPresences[Étudiant],C205,tblPresences[Statut],"P")+COUNTIFS(tblPresences[Étudiant],C205,tblPresences[Statut],"R"))/COUNTIF(tblPresences[Étudiant],C205),""))</f>
        <v>0</v>
      </c>
      <c r="T205" s="27">
        <f>IF(C205="","",MAX(E205:P205))</f>
        <v>0</v>
      </c>
      <c r="U205" s="146">
        <f>IF(C205="","",IF(T205&gt;pSeuil,"⚠ ALERTE",""))</f>
        <v>0</v>
      </c>
    </row>
    <row r="206" spans="2:21">
      <c r="B206" s="147">
        <f>IF(C206="","",200)</f>
        <v>0</v>
      </c>
      <c r="C206" s="32">
        <f>IFERROR(INDEX(tblEtudiants[Nom et prénoms],200)&amp;"","")</f>
        <v>0</v>
      </c>
      <c r="D206" s="30">
        <f>IF(C206="","",INDEX(tblEtudiants[Groupe],200)&amp;"")</f>
        <v>0</v>
      </c>
      <c r="E206" s="30">
        <f>IF(OR($C206="",E$5=""),"",COUNTIFS(tblPresences[Étudiant],$C206,tblPresences[Code matière],E$5,tblPresences[Statut],"A"))</f>
        <v>0</v>
      </c>
      <c r="F206" s="30">
        <f>IF(OR($C206="",F$5=""),"",COUNTIFS(tblPresences[Étudiant],$C206,tblPresences[Code matière],F$5,tblPresences[Statut],"A"))</f>
        <v>0</v>
      </c>
      <c r="G206" s="30">
        <f>IF(OR($C206="",G$5=""),"",COUNTIFS(tblPresences[Étudiant],$C206,tblPresences[Code matière],G$5,tblPresences[Statut],"A"))</f>
        <v>0</v>
      </c>
      <c r="H206" s="30">
        <f>IF(OR($C206="",H$5=""),"",COUNTIFS(tblPresences[Étudiant],$C206,tblPresences[Code matière],H$5,tblPresences[Statut],"A"))</f>
        <v>0</v>
      </c>
      <c r="I206" s="30">
        <f>IF(OR($C206="",I$5=""),"",COUNTIFS(tblPresences[Étudiant],$C206,tblPresences[Code matière],I$5,tblPresences[Statut],"A"))</f>
        <v>0</v>
      </c>
      <c r="J206" s="30">
        <f>IF(OR($C206="",J$5=""),"",COUNTIFS(tblPresences[Étudiant],$C206,tblPresences[Code matière],J$5,tblPresences[Statut],"A"))</f>
        <v>0</v>
      </c>
      <c r="K206" s="30">
        <f>IF(OR($C206="",K$5=""),"",COUNTIFS(tblPresences[Étudiant],$C206,tblPresences[Code matière],K$5,tblPresences[Statut],"A"))</f>
        <v>0</v>
      </c>
      <c r="L206" s="30">
        <f>IF(OR($C206="",L$5=""),"",COUNTIFS(tblPresences[Étudiant],$C206,tblPresences[Code matière],L$5,tblPresences[Statut],"A"))</f>
        <v>0</v>
      </c>
      <c r="M206" s="30">
        <f>IF(OR($C206="",M$5=""),"",COUNTIFS(tblPresences[Étudiant],$C206,tblPresences[Code matière],M$5,tblPresences[Statut],"A"))</f>
        <v>0</v>
      </c>
      <c r="N206" s="30">
        <f>IF(OR($C206="",N$5=""),"",COUNTIFS(tblPresences[Étudiant],$C206,tblPresences[Code matière],N$5,tblPresences[Statut],"A"))</f>
        <v>0</v>
      </c>
      <c r="O206" s="30">
        <f>IF(OR($C206="",O$5=""),"",COUNTIFS(tblPresences[Étudiant],$C206,tblPresences[Code matière],O$5,tblPresences[Statut],"A"))</f>
        <v>0</v>
      </c>
      <c r="P206" s="30">
        <f>IF(OR($C206="",P$5=""),"",COUNTIFS(tblPresences[Étudiant],$C206,tblPresences[Code matière],P$5,tblPresences[Statut],"A"))</f>
        <v>0</v>
      </c>
      <c r="Q206" s="31">
        <f>IF(C206="","",SUM(E206:P206))</f>
        <v>0</v>
      </c>
      <c r="R206" s="30">
        <f>IF(C206="","",COUNTIFS(tblPresences[Étudiant],C206,tblPresences[Statut],"R"))</f>
        <v>0</v>
      </c>
      <c r="S206" s="124">
        <f>IF(C206="","",IFERROR((COUNTIFS(tblPresences[Étudiant],C206,tblPresences[Statut],"P")+COUNTIFS(tblPresences[Étudiant],C206,tblPresences[Statut],"R"))/COUNTIF(tblPresences[Étudiant],C206),""))</f>
        <v>0</v>
      </c>
      <c r="T206" s="30">
        <f>IF(C206="","",MAX(E206:P206))</f>
        <v>0</v>
      </c>
      <c r="U206" s="148">
        <f>IF(C206="","",IF(T206&gt;pSeuil,"⚠ ALERTE",""))</f>
        <v>0</v>
      </c>
    </row>
  </sheetData>
  <sheetProtection password="D4C7" sheet="1" objects="1" scenarios="1" formatColumns="0" formatRows="0" autoFilter="0"/>
  <autoFilter ref="B6:U206"/>
  <mergeCells count="2">
    <mergeCell ref="B2:U2"/>
    <mergeCell ref="B3:U3"/>
  </mergeCells>
  <conditionalFormatting sqref="C7:C206">
    <cfRule type="expression" dxfId="2" priority="4">
      <formula>AND(ISNUMBER($T7),$T7&gt;pSeuil)</formula>
    </cfRule>
  </conditionalFormatting>
  <conditionalFormatting sqref="E7:P206">
    <cfRule type="expression" dxfId="28" priority="1">
      <formula>AND(ISNUMBER(E7),E7&gt;pSeuil)</formula>
    </cfRule>
    <cfRule type="expression" dxfId="29" priority="2">
      <formula>AND(ISNUMBER(E7),E7=pSeuil)</formula>
    </cfRule>
    <cfRule type="cellIs" dxfId="30" priority="3" operator="equal">
      <formula>0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xport">
    <tabColor rgb="FF70AD47"/>
  </sheetPr>
  <dimension ref="A1:G22"/>
  <sheetViews>
    <sheetView showGridLines="0" zoomScale="90" zoomScaleNormal="90" workbookViewId="0"/>
  </sheetViews>
  <sheetFormatPr defaultRowHeight="15"/>
  <cols>
    <col min="1" max="1" width="2.7109375" customWidth="1"/>
    <col min="2" max="2" width="26.7109375" customWidth="1"/>
    <col min="3" max="3" width="30.7109375" customWidth="1"/>
    <col min="4" max="4" width="50.7109375" customWidth="1"/>
    <col min="5" max="7" width="12.7109375" customWidth="1"/>
  </cols>
  <sheetData>
    <row r="1" spans="2:7" ht="8" customHeight="1">
      <c r="B1" s="1" t="s">
        <v>1</v>
      </c>
      <c r="C1" s="1" t="s">
        <v>2</v>
      </c>
    </row>
    <row r="2" spans="2:7" ht="34" customHeight="1">
      <c r="B2" s="2" t="s">
        <v>214</v>
      </c>
      <c r="C2" s="2"/>
      <c r="D2" s="2"/>
      <c r="E2" s="2"/>
      <c r="F2" s="2"/>
      <c r="G2" s="2"/>
    </row>
    <row r="3" spans="2:7" ht="26" customHeight="1">
      <c r="B3" s="4" t="s">
        <v>215</v>
      </c>
      <c r="C3" s="4"/>
      <c r="D3" s="4"/>
      <c r="E3" s="4"/>
      <c r="F3" s="4"/>
      <c r="G3" s="4"/>
    </row>
    <row r="5" spans="2:7">
      <c r="B5" s="8" t="s">
        <v>216</v>
      </c>
      <c r="C5" s="8"/>
      <c r="D5" s="8"/>
      <c r="E5" s="8"/>
      <c r="F5" s="8"/>
      <c r="G5" s="8"/>
    </row>
    <row r="6" spans="2:7" ht="22" customHeight="1">
      <c r="B6" s="64" t="s">
        <v>14</v>
      </c>
      <c r="C6" s="65"/>
      <c r="D6" s="149" t="s">
        <v>217</v>
      </c>
    </row>
    <row r="7" spans="2:7" ht="22" customHeight="1">
      <c r="B7" s="64" t="s">
        <v>103</v>
      </c>
      <c r="C7" s="65"/>
      <c r="D7" s="149" t="s">
        <v>218</v>
      </c>
    </row>
    <row r="8" spans="2:7" ht="22" customHeight="1">
      <c r="B8" s="64" t="s">
        <v>219</v>
      </c>
      <c r="C8" s="65" t="s">
        <v>225</v>
      </c>
      <c r="D8" s="149" t="s">
        <v>220</v>
      </c>
    </row>
    <row r="9" spans="2:7" ht="22" customHeight="1">
      <c r="B9" s="64" t="s">
        <v>221</v>
      </c>
      <c r="C9" s="150"/>
      <c r="D9" s="149" t="s">
        <v>222</v>
      </c>
    </row>
    <row r="10" spans="2:7" ht="22" customHeight="1">
      <c r="B10" s="64" t="s">
        <v>223</v>
      </c>
      <c r="C10" s="150"/>
      <c r="D10" s="149" t="s">
        <v>224</v>
      </c>
    </row>
    <row r="12" spans="2:7" ht="46" customHeight="1"/>
    <row r="15" spans="2:7">
      <c r="B15" s="151" t="s">
        <v>226</v>
      </c>
      <c r="C15" s="151"/>
      <c r="D15" s="151"/>
      <c r="E15" s="151"/>
      <c r="F15" s="151"/>
      <c r="G15" s="151"/>
    </row>
    <row r="16" spans="2:7" ht="30" customHeight="1">
      <c r="B16" s="152" t="s">
        <v>227</v>
      </c>
      <c r="C16" s="152"/>
      <c r="D16" s="152"/>
      <c r="E16" s="152"/>
      <c r="F16" s="152"/>
      <c r="G16" s="152"/>
    </row>
    <row r="17" spans="2:7" ht="30" customHeight="1">
      <c r="B17" s="152" t="s">
        <v>228</v>
      </c>
      <c r="C17" s="152"/>
      <c r="D17" s="152"/>
      <c r="E17" s="152"/>
      <c r="F17" s="152"/>
      <c r="G17" s="152"/>
    </row>
    <row r="18" spans="2:7" ht="30" customHeight="1">
      <c r="B18" s="152" t="s">
        <v>229</v>
      </c>
      <c r="C18" s="152"/>
      <c r="D18" s="152"/>
      <c r="E18" s="152"/>
      <c r="F18" s="152"/>
      <c r="G18" s="152"/>
    </row>
    <row r="19" spans="2:7" ht="30" customHeight="1">
      <c r="B19" s="152" t="s">
        <v>230</v>
      </c>
      <c r="C19" s="152"/>
      <c r="D19" s="152"/>
      <c r="E19" s="152"/>
      <c r="F19" s="152"/>
      <c r="G19" s="152"/>
    </row>
    <row r="20" spans="2:7" ht="30" customHeight="1">
      <c r="B20" s="152" t="s">
        <v>231</v>
      </c>
      <c r="C20" s="152"/>
      <c r="D20" s="152"/>
      <c r="E20" s="152"/>
      <c r="F20" s="152"/>
      <c r="G20" s="152"/>
    </row>
    <row r="22" spans="2:7">
      <c r="B22" s="64" t="s">
        <v>232</v>
      </c>
      <c r="C22" s="153">
        <f>IFERROR(LEFT(CELL("filename",A1),FIND("[",CELL("filename",A1))-1)&amp;"Export_PDF","(enregistrez d'abord le classeur)")</f>
        <v>0</v>
      </c>
      <c r="D22" s="153"/>
      <c r="E22" s="153"/>
      <c r="F22" s="153"/>
      <c r="G22" s="153"/>
    </row>
  </sheetData>
  <sheetProtection password="D4C7" sheet="1" objects="1" scenarios="1" formatColumns="0" formatRows="0" autoFilter="0"/>
  <mergeCells count="10">
    <mergeCell ref="B2:G2"/>
    <mergeCell ref="B3:G3"/>
    <mergeCell ref="B5:G5"/>
    <mergeCell ref="B15:G15"/>
    <mergeCell ref="B16:G16"/>
    <mergeCell ref="B17:G17"/>
    <mergeCell ref="B18:G18"/>
    <mergeCell ref="B19:G19"/>
    <mergeCell ref="B20:G20"/>
    <mergeCell ref="C22:G22"/>
  </mergeCells>
  <dataValidations count="5">
    <dataValidation type="list" allowBlank="1" showInputMessage="1" showErrorMessage="1" sqref="C6">
      <formula1>LstMatieres</formula1>
    </dataValidation>
    <dataValidation type="list" allowBlank="1" showInputMessage="1" showErrorMessage="1" sqref="C7">
      <formula1>LstGroupes</formula1>
    </dataValidation>
    <dataValidation type="list" allowBlank="1" showInputMessage="1" showErrorMessage="1" sqref="C8">
      <formula1>LstModeExport</formula1>
    </dataValidation>
    <dataValidation type="date" operator="greaterThan" allowBlank="1" showInputMessage="1" showErrorMessage="1" sqref="C9">
      <formula1>43831</formula1>
    </dataValidation>
    <dataValidation type="date" operator="greaterThan" allowBlank="1" showInputMessage="1" showErrorMessage="1" sqref="C10">
      <formula1>43831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tudiants">
    <tabColor rgb="FF7F7F7F"/>
  </sheetPr>
  <dimension ref="A1:J22"/>
  <sheetViews>
    <sheetView showGridLines="0" zoomScale="90" zoomScaleNormal="90" workbookViewId="0">
      <pane ySplit="6" topLeftCell="A7" activePane="bottomLeft" state="frozen"/>
      <selection pane="bottomLeft"/>
    </sheetView>
  </sheetViews>
  <sheetFormatPr defaultRowHeight="15"/>
  <cols>
    <col min="1" max="1" width="2.7109375" customWidth="1"/>
    <col min="2" max="2" width="6.7109375" customWidth="1"/>
    <col min="3" max="3" width="34.7109375" customWidth="1"/>
    <col min="4" max="4" width="11.7109375" customWidth="1"/>
    <col min="5" max="5" width="12.7109375" customWidth="1"/>
    <col min="6" max="6" width="32.7109375" customWidth="1"/>
    <col min="7" max="7" width="15.7109375" customWidth="1"/>
    <col min="8" max="8" width="3.7109375" customWidth="1"/>
    <col min="9" max="9" width="12.7109375" customWidth="1"/>
    <col min="10" max="10" width="10.7109375" customWidth="1"/>
  </cols>
  <sheetData>
    <row r="1" spans="2:10" ht="8" customHeight="1">
      <c r="B1" s="1" t="s">
        <v>1</v>
      </c>
      <c r="C1" s="1" t="s">
        <v>2</v>
      </c>
    </row>
    <row r="2" spans="2:10" ht="34" customHeight="1">
      <c r="B2" s="2" t="s">
        <v>233</v>
      </c>
      <c r="C2" s="2"/>
      <c r="D2" s="2"/>
      <c r="E2" s="2"/>
      <c r="F2" s="2"/>
      <c r="G2" s="2"/>
      <c r="H2" s="2"/>
      <c r="I2" s="2"/>
      <c r="J2" s="2"/>
    </row>
    <row r="3" spans="2:10" ht="26" customHeight="1">
      <c r="B3" s="4" t="s">
        <v>234</v>
      </c>
      <c r="C3" s="4"/>
      <c r="D3" s="4"/>
      <c r="E3" s="4"/>
      <c r="F3" s="4"/>
      <c r="G3" s="4"/>
      <c r="H3" s="4"/>
      <c r="I3" s="4"/>
      <c r="J3" s="4"/>
    </row>
    <row r="4" spans="2:10" ht="30" customHeight="1"/>
    <row r="6" spans="2:10" ht="30" customHeight="1">
      <c r="B6" t="s">
        <v>101</v>
      </c>
      <c r="C6" t="s">
        <v>102</v>
      </c>
      <c r="D6" t="s">
        <v>103</v>
      </c>
      <c r="E6" t="s">
        <v>165</v>
      </c>
      <c r="F6" t="s">
        <v>166</v>
      </c>
      <c r="G6" t="s">
        <v>167</v>
      </c>
      <c r="I6" s="8" t="s">
        <v>235</v>
      </c>
      <c r="J6" s="8"/>
    </row>
    <row r="7" spans="2:10">
      <c r="I7" s="29">
        <f>IFERROR(INDEX(tblListeGroupes[Groupe],1)&amp;"","")</f>
        <v>0</v>
      </c>
      <c r="J7" s="28">
        <f>IF(I7="","",COUNTIF(tblEtudiants[Groupe],I7))</f>
        <v>0</v>
      </c>
    </row>
    <row r="8" spans="2:10">
      <c r="I8" s="32">
        <f>IFERROR(INDEX(tblListeGroupes[Groupe],2)&amp;"","")</f>
        <v>0</v>
      </c>
      <c r="J8" s="31">
        <f>IF(I8="","",COUNTIF(tblEtudiants[Groupe],I8))</f>
        <v>0</v>
      </c>
    </row>
    <row r="9" spans="2:10">
      <c r="I9" s="29">
        <f>IFERROR(INDEX(tblListeGroupes[Groupe],3)&amp;"","")</f>
        <v>0</v>
      </c>
      <c r="J9" s="28">
        <f>IF(I9="","",COUNTIF(tblEtudiants[Groupe],I9))</f>
        <v>0</v>
      </c>
    </row>
    <row r="10" spans="2:10">
      <c r="I10" s="32">
        <f>IFERROR(INDEX(tblListeGroupes[Groupe],4)&amp;"","")</f>
        <v>0</v>
      </c>
      <c r="J10" s="31">
        <f>IF(I10="","",COUNTIF(tblEtudiants[Groupe],I10))</f>
        <v>0</v>
      </c>
    </row>
    <row r="11" spans="2:10">
      <c r="I11" s="29">
        <f>IFERROR(INDEX(tblListeGroupes[Groupe],5)&amp;"","")</f>
        <v>0</v>
      </c>
      <c r="J11" s="28">
        <f>IF(I11="","",COUNTIF(tblEtudiants[Groupe],I11))</f>
        <v>0</v>
      </c>
    </row>
    <row r="12" spans="2:10">
      <c r="I12" s="32">
        <f>IFERROR(INDEX(tblListeGroupes[Groupe],6)&amp;"","")</f>
        <v>0</v>
      </c>
      <c r="J12" s="31">
        <f>IF(I12="","",COUNTIF(tblEtudiants[Groupe],I12))</f>
        <v>0</v>
      </c>
    </row>
    <row r="13" spans="2:10">
      <c r="I13" s="29">
        <f>IFERROR(INDEX(tblListeGroupes[Groupe],7)&amp;"","")</f>
        <v>0</v>
      </c>
      <c r="J13" s="28">
        <f>IF(I13="","",COUNTIF(tblEtudiants[Groupe],I13))</f>
        <v>0</v>
      </c>
    </row>
    <row r="14" spans="2:10">
      <c r="I14" s="32">
        <f>IFERROR(INDEX(tblListeGroupes[Groupe],8)&amp;"","")</f>
        <v>0</v>
      </c>
      <c r="J14" s="31">
        <f>IF(I14="","",COUNTIF(tblEtudiants[Groupe],I14))</f>
        <v>0</v>
      </c>
    </row>
    <row r="15" spans="2:10">
      <c r="I15" s="29">
        <f>IFERROR(INDEX(tblListeGroupes[Groupe],9)&amp;"","")</f>
        <v>0</v>
      </c>
      <c r="J15" s="28">
        <f>IF(I15="","",COUNTIF(tblEtudiants[Groupe],I15))</f>
        <v>0</v>
      </c>
    </row>
    <row r="16" spans="2:10">
      <c r="I16" s="32">
        <f>IFERROR(INDEX(tblListeGroupes[Groupe],10)&amp;"","")</f>
        <v>0</v>
      </c>
      <c r="J16" s="31">
        <f>IF(I16="","",COUNTIF(tblEtudiants[Groupe],I16))</f>
        <v>0</v>
      </c>
    </row>
    <row r="17" spans="9:10">
      <c r="I17" s="29">
        <f>IFERROR(INDEX(tblListeGroupes[Groupe],11)&amp;"","")</f>
        <v>0</v>
      </c>
      <c r="J17" s="28">
        <f>IF(I17="","",COUNTIF(tblEtudiants[Groupe],I17))</f>
        <v>0</v>
      </c>
    </row>
    <row r="18" spans="9:10">
      <c r="I18" s="32">
        <f>IFERROR(INDEX(tblListeGroupes[Groupe],12)&amp;"","")</f>
        <v>0</v>
      </c>
      <c r="J18" s="31">
        <f>IF(I18="","",COUNTIF(tblEtudiants[Groupe],I18))</f>
        <v>0</v>
      </c>
    </row>
    <row r="19" spans="9:10">
      <c r="I19" s="29">
        <f>IFERROR(INDEX(tblListeGroupes[Groupe],13)&amp;"","")</f>
        <v>0</v>
      </c>
      <c r="J19" s="28">
        <f>IF(I19="","",COUNTIF(tblEtudiants[Groupe],I19))</f>
        <v>0</v>
      </c>
    </row>
    <row r="20" spans="9:10">
      <c r="I20" s="32">
        <f>IFERROR(INDEX(tblListeGroupes[Groupe],14)&amp;"","")</f>
        <v>0</v>
      </c>
      <c r="J20" s="31">
        <f>IF(I20="","",COUNTIF(tblEtudiants[Groupe],I20))</f>
        <v>0</v>
      </c>
    </row>
    <row r="21" spans="9:10">
      <c r="I21" s="29">
        <f>IFERROR(INDEX(tblListeGroupes[Groupe],15)&amp;"","")</f>
        <v>0</v>
      </c>
      <c r="J21" s="28">
        <f>IF(I21="","",COUNTIF(tblEtudiants[Groupe],I21))</f>
        <v>0</v>
      </c>
    </row>
    <row r="22" spans="9:10">
      <c r="I22" s="154" t="s">
        <v>236</v>
      </c>
      <c r="J22" s="155">
        <f>COUNTA(tblEtudiants[Nom et prénoms])</f>
        <v>0</v>
      </c>
    </row>
  </sheetData>
  <sheetProtection password="D4C7" sheet="1" objects="1" scenarios="1" formatColumns="0" formatRows="0" autoFilter="0"/>
  <mergeCells count="3">
    <mergeCell ref="B2:J2"/>
    <mergeCell ref="B3:J3"/>
    <mergeCell ref="I6:J6"/>
  </mergeCells>
  <dataValidations count="1">
    <dataValidation type="list" allowBlank="1" showInputMessage="1" showErrorMessage="1" sqref="D7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Groupes">
    <tabColor rgb="FF7F7F7F"/>
  </sheetPr>
  <dimension ref="A1:P40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4.7109375" customWidth="1"/>
    <col min="4" max="4" width="11.7109375" customWidth="1"/>
    <col min="5" max="5" width="12.7109375" customWidth="1"/>
    <col min="6" max="6" width="3.7109375" customWidth="1"/>
    <col min="7" max="16" width="24.7109375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237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>
      <c r="B3" s="4" t="s">
        <v>238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5" spans="2:16" ht="30" customHeight="1">
      <c r="B5" s="64" t="s">
        <v>14</v>
      </c>
      <c r="C5" s="65"/>
    </row>
    <row r="6" spans="2:16">
      <c r="B6" s="156">
        <f>IF(C5="","Choisissez une matière.",IF(COUNTIF(tblGroupes[Code matière],LEFT(C5,FIND(" ",C5&amp;" ")-1))&gt;0,"► Groupes SPÉCIFIQUES à "&amp;C5&amp;" (tableau ci-dessous)","► "&amp;C5&amp;" utilise les groupes PAR DÉFAUT (feuille ÉTUDIANTS)"))</f>
        <v>0</v>
      </c>
      <c r="C6" s="156"/>
      <c r="D6" s="156"/>
      <c r="E6" s="156"/>
    </row>
    <row r="8" spans="2:16">
      <c r="G8" s="157" t="s">
        <v>239</v>
      </c>
      <c r="H8" s="157"/>
      <c r="I8" s="157"/>
      <c r="J8" s="157"/>
      <c r="K8" s="157"/>
      <c r="L8" s="157"/>
      <c r="M8" s="157"/>
      <c r="N8" s="157"/>
      <c r="O8" s="157"/>
      <c r="P8" s="157"/>
    </row>
    <row r="9" spans="2:16" ht="30" customHeight="1">
      <c r="B9" t="s">
        <v>114</v>
      </c>
      <c r="C9" t="s">
        <v>122</v>
      </c>
      <c r="D9" t="s">
        <v>103</v>
      </c>
      <c r="E9" t="s">
        <v>165</v>
      </c>
      <c r="G9" s="158" cm="1">
        <f t="array" ref="G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")-1))),_xlfn.UNIQUE(_xlfn._xlws.FILTER(tblEtudiants[Groupe],tblEtudiants[Groupe]&lt;&gt;""))),_xlpm.s,_xlfn.SORTBY(_xlpm.g,LEN(_xlpm.g),1,_xlpm.g,1),INDEX(_xlpm.s,1)),"")</f>
        <v>0</v>
      </c>
      <c r="H9" s="158" cm="1">
        <f t="array" ref="H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")-1))),_xlfn.UNIQUE(_xlfn._xlws.FILTER(tblEtudiants[Groupe],tblEtudiants[Groupe]&lt;&gt;""))),_xlpm.s,_xlfn.SORTBY(_xlpm.g,LEN(_xlpm.g),1,_xlpm.g,1),INDEX(_xlpm.s,2)),"")</f>
        <v>0</v>
      </c>
      <c r="I9" s="158" cm="1">
        <f t="array" ref="I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")-1))),_xlfn.UNIQUE(_xlfn._xlws.FILTER(tblEtudiants[Groupe],tblEtudiants[Groupe]&lt;&gt;""))),_xlpm.s,_xlfn.SORTBY(_xlpm.g,LEN(_xlpm.g),1,_xlpm.g,1),INDEX(_xlpm.s,3)),"")</f>
        <v>0</v>
      </c>
      <c r="J9" s="158" cm="1">
        <f t="array" ref="J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")-1))),_xlfn.UNIQUE(_xlfn._xlws.FILTER(tblEtudiants[Groupe],tblEtudiants[Groupe]&lt;&gt;""))),_xlpm.s,_xlfn.SORTBY(_xlpm.g,LEN(_xlpm.g),1,_xlpm.g,1),INDEX(_xlpm.s,4)),"")</f>
        <v>0</v>
      </c>
      <c r="K9" s="158" cm="1">
        <f t="array" ref="K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")-1))),_xlfn.UNIQUE(_xlfn._xlws.FILTER(tblEtudiants[Groupe],tblEtudiants[Groupe]&lt;&gt;""))),_xlpm.s,_xlfn.SORTBY(_xlpm.g,LEN(_xlpm.g),1,_xlpm.g,1),INDEX(_xlpm.s,5)),"")</f>
        <v>0</v>
      </c>
      <c r="L9" s="158" cm="1">
        <f t="array" ref="L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")-1))),_xlfn.UNIQUE(_xlfn._xlws.FILTER(tblEtudiants[Groupe],tblEtudiants[Groupe]&lt;&gt;""))),_xlpm.s,_xlfn.SORTBY(_xlpm.g,LEN(_xlpm.g),1,_xlpm.g,1),INDEX(_xlpm.s,6)),"")</f>
        <v>0</v>
      </c>
      <c r="M9" s="158" cm="1">
        <f t="array" ref="M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")-1))),_xlfn.UNIQUE(_xlfn._xlws.FILTER(tblEtudiants[Groupe],tblEtudiants[Groupe]&lt;&gt;""))),_xlpm.s,_xlfn.SORTBY(_xlpm.g,LEN(_xlpm.g),1,_xlpm.g,1),INDEX(_xlpm.s,7)),"")</f>
        <v>0</v>
      </c>
      <c r="N9" s="158" cm="1">
        <f t="array" ref="N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")-1))),_xlfn.UNIQUE(_xlfn._xlws.FILTER(tblEtudiants[Groupe],tblEtudiants[Groupe]&lt;&gt;""))),_xlpm.s,_xlfn.SORTBY(_xlpm.g,LEN(_xlpm.g),1,_xlpm.g,1),INDEX(_xlpm.s,8)),"")</f>
        <v>0</v>
      </c>
      <c r="O9" s="158" cm="1">
        <f t="array" ref="O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")-1))),_xlfn.UNIQUE(_xlfn._xlws.FILTER(tblEtudiants[Groupe],tblEtudiants[Groupe]&lt;&gt;""))),_xlpm.s,_xlfn.SORTBY(_xlpm.g,LEN(_xlpm.g),1,_xlpm.g,1),INDEX(_xlpm.s,9)),"")</f>
        <v>0</v>
      </c>
      <c r="P9" s="158" cm="1">
        <f t="array" ref="P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")-1))),_xlfn.UNIQUE(_xlfn._xlws.FILTER(tblEtudiants[Groupe],tblEtudiants[Groupe]&lt;&gt;""))),_xlpm.s,_xlfn.SORTBY(_xlpm.g,LEN(_xlpm.g),1,_xlpm.g,1),INDEX(_xlpm.s,10)),"")</f>
        <v>0</v>
      </c>
    </row>
    <row r="10" spans="2:16">
      <c r="G10" s="159" cm="1">
        <f t="array" ref="G10">IF(G$9="","",IF(COUNTIF(tblGroupes[Code matière],LEFT($C$5,FIND(" ",$C$5&amp;" ")-1))&gt;0,_xlfn._xlws.FILTER(tblGroupes[Étudiant],(tblGroupes[Code matière]=LEFT($C$5,FIND(" ",$C$5&amp;" ")-1))*(tblGroupes[Groupe]=G$9),""),_xlfn._xlws.FILTER(tblEtudiants[Nom et prénoms],tblEtudiants[Groupe]=G$9,"")))</f>
        <v>0</v>
      </c>
      <c r="H10" s="159" cm="1">
        <f t="array" ref="H10">IF(H$9="","",IF(COUNTIF(tblGroupes[Code matière],LEFT($C$5,FIND(" ",$C$5&amp;" ")-1))&gt;0,_xlfn._xlws.FILTER(tblGroupes[Étudiant],(tblGroupes[Code matière]=LEFT($C$5,FIND(" ",$C$5&amp;" ")-1))*(tblGroupes[Groupe]=H$9),""),_xlfn._xlws.FILTER(tblEtudiants[Nom et prénoms],tblEtudiants[Groupe]=H$9,"")))</f>
        <v>0</v>
      </c>
      <c r="I10" s="159" cm="1">
        <f t="array" ref="I10">IF(I$9="","",IF(COUNTIF(tblGroupes[Code matière],LEFT($C$5,FIND(" ",$C$5&amp;" ")-1))&gt;0,_xlfn._xlws.FILTER(tblGroupes[Étudiant],(tblGroupes[Code matière]=LEFT($C$5,FIND(" ",$C$5&amp;" ")-1))*(tblGroupes[Groupe]=I$9),""),_xlfn._xlws.FILTER(tblEtudiants[Nom et prénoms],tblEtudiants[Groupe]=I$9,"")))</f>
        <v>0</v>
      </c>
      <c r="J10" s="159" cm="1">
        <f t="array" ref="J10">IF(J$9="","",IF(COUNTIF(tblGroupes[Code matière],LEFT($C$5,FIND(" ",$C$5&amp;" ")-1))&gt;0,_xlfn._xlws.FILTER(tblGroupes[Étudiant],(tblGroupes[Code matière]=LEFT($C$5,FIND(" ",$C$5&amp;" ")-1))*(tblGroupes[Groupe]=J$9),""),_xlfn._xlws.FILTER(tblEtudiants[Nom et prénoms],tblEtudiants[Groupe]=J$9,"")))</f>
        <v>0</v>
      </c>
      <c r="K10" s="159" cm="1">
        <f t="array" ref="K10">IF(K$9="","",IF(COUNTIF(tblGroupes[Code matière],LEFT($C$5,FIND(" ",$C$5&amp;" ")-1))&gt;0,_xlfn._xlws.FILTER(tblGroupes[Étudiant],(tblGroupes[Code matière]=LEFT($C$5,FIND(" ",$C$5&amp;" ")-1))*(tblGroupes[Groupe]=K$9),""),_xlfn._xlws.FILTER(tblEtudiants[Nom et prénoms],tblEtudiants[Groupe]=K$9,"")))</f>
        <v>0</v>
      </c>
      <c r="L10" s="159" cm="1">
        <f t="array" ref="L10">IF(L$9="","",IF(COUNTIF(tblGroupes[Code matière],LEFT($C$5,FIND(" ",$C$5&amp;" ")-1))&gt;0,_xlfn._xlws.FILTER(tblGroupes[Étudiant],(tblGroupes[Code matière]=LEFT($C$5,FIND(" ",$C$5&amp;" ")-1))*(tblGroupes[Groupe]=L$9),""),_xlfn._xlws.FILTER(tblEtudiants[Nom et prénoms],tblEtudiants[Groupe]=L$9,"")))</f>
        <v>0</v>
      </c>
      <c r="M10" s="159" cm="1">
        <f t="array" ref="M10">IF(M$9="","",IF(COUNTIF(tblGroupes[Code matière],LEFT($C$5,FIND(" ",$C$5&amp;" ")-1))&gt;0,_xlfn._xlws.FILTER(tblGroupes[Étudiant],(tblGroupes[Code matière]=LEFT($C$5,FIND(" ",$C$5&amp;" ")-1))*(tblGroupes[Groupe]=M$9),""),_xlfn._xlws.FILTER(tblEtudiants[Nom et prénoms],tblEtudiants[Groupe]=M$9,"")))</f>
        <v>0</v>
      </c>
      <c r="N10" s="159" cm="1">
        <f t="array" ref="N10">IF(N$9="","",IF(COUNTIF(tblGroupes[Code matière],LEFT($C$5,FIND(" ",$C$5&amp;" ")-1))&gt;0,_xlfn._xlws.FILTER(tblGroupes[Étudiant],(tblGroupes[Code matière]=LEFT($C$5,FIND(" ",$C$5&amp;" ")-1))*(tblGroupes[Groupe]=N$9),""),_xlfn._xlws.FILTER(tblEtudiants[Nom et prénoms],tblEtudiants[Groupe]=N$9,"")))</f>
        <v>0</v>
      </c>
      <c r="O10" s="159" cm="1">
        <f t="array" ref="O10">IF(O$9="","",IF(COUNTIF(tblGroupes[Code matière],LEFT($C$5,FIND(" ",$C$5&amp;" ")-1))&gt;0,_xlfn._xlws.FILTER(tblGroupes[Étudiant],(tblGroupes[Code matière]=LEFT($C$5,FIND(" ",$C$5&amp;" ")-1))*(tblGroupes[Groupe]=O$9),""),_xlfn._xlws.FILTER(tblEtudiants[Nom et prénoms],tblEtudiants[Groupe]=O$9,"")))</f>
        <v>0</v>
      </c>
      <c r="P10" s="159" cm="1">
        <f t="array" ref="P10">IF(P$9="","",IF(COUNTIF(tblGroupes[Code matière],LEFT($C$5,FIND(" ",$C$5&amp;" ")-1))&gt;0,_xlfn._xlws.FILTER(tblGroupes[Étudiant],(tblGroupes[Code matière]=LEFT($C$5,FIND(" ",$C$5&amp;" ")-1))*(tblGroupes[Groupe]=P$9),""),_xlfn._xlws.FILTER(tblEtudiants[Nom et prénoms],tblEtudiants[Groupe]=P$9,"")))</f>
        <v>0</v>
      </c>
    </row>
    <row r="11" spans="2:16">
      <c r="G11" s="160"/>
      <c r="H11" s="160"/>
      <c r="I11" s="160"/>
      <c r="J11" s="160"/>
      <c r="K11" s="160"/>
      <c r="L11" s="160"/>
      <c r="M11" s="160"/>
      <c r="N11" s="160"/>
      <c r="O11" s="160"/>
      <c r="P11" s="160"/>
    </row>
    <row r="12" spans="2:16">
      <c r="G12" s="160"/>
      <c r="H12" s="160"/>
      <c r="I12" s="160"/>
      <c r="J12" s="160"/>
      <c r="K12" s="160"/>
      <c r="L12" s="160"/>
      <c r="M12" s="160"/>
      <c r="N12" s="160"/>
      <c r="O12" s="160"/>
      <c r="P12" s="160"/>
    </row>
    <row r="13" spans="2:16">
      <c r="G13" s="160"/>
      <c r="H13" s="160"/>
      <c r="I13" s="160"/>
      <c r="J13" s="160"/>
      <c r="K13" s="160"/>
      <c r="L13" s="160"/>
      <c r="M13" s="160"/>
      <c r="N13" s="160"/>
      <c r="O13" s="160"/>
      <c r="P13" s="160"/>
    </row>
    <row r="14" spans="2:16">
      <c r="G14" s="160"/>
      <c r="H14" s="160"/>
      <c r="I14" s="160"/>
      <c r="J14" s="160"/>
      <c r="K14" s="160"/>
      <c r="L14" s="160"/>
      <c r="M14" s="160"/>
      <c r="N14" s="160"/>
      <c r="O14" s="160"/>
      <c r="P14" s="160"/>
    </row>
    <row r="15" spans="2:16">
      <c r="G15" s="160"/>
      <c r="H15" s="160"/>
      <c r="I15" s="160"/>
      <c r="J15" s="160"/>
      <c r="K15" s="160"/>
      <c r="L15" s="160"/>
      <c r="M15" s="160"/>
      <c r="N15" s="160"/>
      <c r="O15" s="160"/>
      <c r="P15" s="160"/>
    </row>
    <row r="16" spans="2:16">
      <c r="G16" s="160"/>
      <c r="H16" s="160"/>
      <c r="I16" s="160"/>
      <c r="J16" s="160"/>
      <c r="K16" s="160"/>
      <c r="L16" s="160"/>
      <c r="M16" s="160"/>
      <c r="N16" s="160"/>
      <c r="O16" s="160"/>
      <c r="P16" s="160"/>
    </row>
    <row r="17" spans="7:16">
      <c r="G17" s="160"/>
      <c r="H17" s="160"/>
      <c r="I17" s="160"/>
      <c r="J17" s="160"/>
      <c r="K17" s="160"/>
      <c r="L17" s="160"/>
      <c r="M17" s="160"/>
      <c r="N17" s="160"/>
      <c r="O17" s="160"/>
      <c r="P17" s="160"/>
    </row>
    <row r="18" spans="7:16">
      <c r="G18" s="160"/>
      <c r="H18" s="160"/>
      <c r="I18" s="160"/>
      <c r="J18" s="160"/>
      <c r="K18" s="160"/>
      <c r="L18" s="160"/>
      <c r="M18" s="160"/>
      <c r="N18" s="160"/>
      <c r="O18" s="160"/>
      <c r="P18" s="160"/>
    </row>
    <row r="19" spans="7:16">
      <c r="G19" s="160"/>
      <c r="H19" s="160"/>
      <c r="I19" s="160"/>
      <c r="J19" s="160"/>
      <c r="K19" s="160"/>
      <c r="L19" s="160"/>
      <c r="M19" s="160"/>
      <c r="N19" s="160"/>
      <c r="O19" s="160"/>
      <c r="P19" s="160"/>
    </row>
    <row r="20" spans="7:16">
      <c r="G20" s="160"/>
      <c r="H20" s="160"/>
      <c r="I20" s="160"/>
      <c r="J20" s="160"/>
      <c r="K20" s="160"/>
      <c r="L20" s="160"/>
      <c r="M20" s="160"/>
      <c r="N20" s="160"/>
      <c r="O20" s="160"/>
      <c r="P20" s="160"/>
    </row>
    <row r="21" spans="7:16">
      <c r="G21" s="160"/>
      <c r="H21" s="160"/>
      <c r="I21" s="160"/>
      <c r="J21" s="160"/>
      <c r="K21" s="160"/>
      <c r="L21" s="160"/>
      <c r="M21" s="160"/>
      <c r="N21" s="160"/>
      <c r="O21" s="160"/>
      <c r="P21" s="160"/>
    </row>
    <row r="22" spans="7:16">
      <c r="G22" s="160"/>
      <c r="H22" s="160"/>
      <c r="I22" s="160"/>
      <c r="J22" s="160"/>
      <c r="K22" s="160"/>
      <c r="L22" s="160"/>
      <c r="M22" s="160"/>
      <c r="N22" s="160"/>
      <c r="O22" s="160"/>
      <c r="P22" s="160"/>
    </row>
    <row r="23" spans="7:16">
      <c r="G23" s="160"/>
      <c r="H23" s="160"/>
      <c r="I23" s="160"/>
      <c r="J23" s="160"/>
      <c r="K23" s="160"/>
      <c r="L23" s="160"/>
      <c r="M23" s="160"/>
      <c r="N23" s="160"/>
      <c r="O23" s="160"/>
      <c r="P23" s="160"/>
    </row>
    <row r="24" spans="7:16">
      <c r="G24" s="160"/>
      <c r="H24" s="160"/>
      <c r="I24" s="160"/>
      <c r="J24" s="160"/>
      <c r="K24" s="160"/>
      <c r="L24" s="160"/>
      <c r="M24" s="160"/>
      <c r="N24" s="160"/>
      <c r="O24" s="160"/>
      <c r="P24" s="160"/>
    </row>
    <row r="25" spans="7:16">
      <c r="G25" s="160"/>
      <c r="H25" s="160"/>
      <c r="I25" s="160"/>
      <c r="J25" s="160"/>
      <c r="K25" s="160"/>
      <c r="L25" s="160"/>
      <c r="M25" s="160"/>
      <c r="N25" s="160"/>
      <c r="O25" s="160"/>
      <c r="P25" s="160"/>
    </row>
    <row r="26" spans="7:16">
      <c r="G26" s="160"/>
      <c r="H26" s="160"/>
      <c r="I26" s="160"/>
      <c r="J26" s="160"/>
      <c r="K26" s="160"/>
      <c r="L26" s="160"/>
      <c r="M26" s="160"/>
      <c r="N26" s="160"/>
      <c r="O26" s="160"/>
      <c r="P26" s="160"/>
    </row>
    <row r="27" spans="7:16">
      <c r="G27" s="160"/>
      <c r="H27" s="160"/>
      <c r="I27" s="160"/>
      <c r="J27" s="160"/>
      <c r="K27" s="160"/>
      <c r="L27" s="160"/>
      <c r="M27" s="160"/>
      <c r="N27" s="160"/>
      <c r="O27" s="160"/>
      <c r="P27" s="160"/>
    </row>
    <row r="28" spans="7:16">
      <c r="G28" s="160"/>
      <c r="H28" s="160"/>
      <c r="I28" s="160"/>
      <c r="J28" s="160"/>
      <c r="K28" s="160"/>
      <c r="L28" s="160"/>
      <c r="M28" s="160"/>
      <c r="N28" s="160"/>
      <c r="O28" s="160"/>
      <c r="P28" s="160"/>
    </row>
    <row r="29" spans="7:16">
      <c r="G29" s="160"/>
      <c r="H29" s="160"/>
      <c r="I29" s="160"/>
      <c r="J29" s="160"/>
      <c r="K29" s="160"/>
      <c r="L29" s="160"/>
      <c r="M29" s="160"/>
      <c r="N29" s="160"/>
      <c r="O29" s="160"/>
      <c r="P29" s="160"/>
    </row>
    <row r="30" spans="7:16">
      <c r="G30" s="160"/>
      <c r="H30" s="160"/>
      <c r="I30" s="160"/>
      <c r="J30" s="160"/>
      <c r="K30" s="160"/>
      <c r="L30" s="160"/>
      <c r="M30" s="160"/>
      <c r="N30" s="160"/>
      <c r="O30" s="160"/>
      <c r="P30" s="160"/>
    </row>
    <row r="31" spans="7:16">
      <c r="G31" s="160"/>
      <c r="H31" s="160"/>
      <c r="I31" s="160"/>
      <c r="J31" s="160"/>
      <c r="K31" s="160"/>
      <c r="L31" s="160"/>
      <c r="M31" s="160"/>
      <c r="N31" s="160"/>
      <c r="O31" s="160"/>
      <c r="P31" s="160"/>
    </row>
    <row r="32" spans="7:16">
      <c r="G32" s="160"/>
      <c r="H32" s="160"/>
      <c r="I32" s="160"/>
      <c r="J32" s="160"/>
      <c r="K32" s="160"/>
      <c r="L32" s="160"/>
      <c r="M32" s="160"/>
      <c r="N32" s="160"/>
      <c r="O32" s="160"/>
      <c r="P32" s="160"/>
    </row>
    <row r="33" spans="7:16">
      <c r="G33" s="160"/>
      <c r="H33" s="160"/>
      <c r="I33" s="160"/>
      <c r="J33" s="160"/>
      <c r="K33" s="160"/>
      <c r="L33" s="160"/>
      <c r="M33" s="160"/>
      <c r="N33" s="160"/>
      <c r="O33" s="160"/>
      <c r="P33" s="160"/>
    </row>
    <row r="34" spans="7:16">
      <c r="G34" s="160"/>
      <c r="H34" s="160"/>
      <c r="I34" s="160"/>
      <c r="J34" s="160"/>
      <c r="K34" s="160"/>
      <c r="L34" s="160"/>
      <c r="M34" s="160"/>
      <c r="N34" s="160"/>
      <c r="O34" s="160"/>
      <c r="P34" s="160"/>
    </row>
    <row r="35" spans="7:16">
      <c r="G35" s="160"/>
      <c r="H35" s="160"/>
      <c r="I35" s="160"/>
      <c r="J35" s="160"/>
      <c r="K35" s="160"/>
      <c r="L35" s="160"/>
      <c r="M35" s="160"/>
      <c r="N35" s="160"/>
      <c r="O35" s="160"/>
      <c r="P35" s="160"/>
    </row>
    <row r="36" spans="7:16">
      <c r="G36" s="160"/>
      <c r="H36" s="160"/>
      <c r="I36" s="160"/>
      <c r="J36" s="160"/>
      <c r="K36" s="160"/>
      <c r="L36" s="160"/>
      <c r="M36" s="160"/>
      <c r="N36" s="160"/>
      <c r="O36" s="160"/>
      <c r="P36" s="160"/>
    </row>
    <row r="37" spans="7:16">
      <c r="G37" s="160"/>
      <c r="H37" s="160"/>
      <c r="I37" s="160"/>
      <c r="J37" s="160"/>
      <c r="K37" s="160"/>
      <c r="L37" s="160"/>
      <c r="M37" s="160"/>
      <c r="N37" s="160"/>
      <c r="O37" s="160"/>
      <c r="P37" s="160"/>
    </row>
    <row r="38" spans="7:16">
      <c r="G38" s="160"/>
      <c r="H38" s="160"/>
      <c r="I38" s="160"/>
      <c r="J38" s="160"/>
      <c r="K38" s="160"/>
      <c r="L38" s="160"/>
      <c r="M38" s="160"/>
      <c r="N38" s="160"/>
      <c r="O38" s="160"/>
      <c r="P38" s="160"/>
    </row>
    <row r="39" spans="7:16">
      <c r="G39" s="160"/>
      <c r="H39" s="160"/>
      <c r="I39" s="160"/>
      <c r="J39" s="160"/>
      <c r="K39" s="160"/>
      <c r="L39" s="160"/>
      <c r="M39" s="160"/>
      <c r="N39" s="160"/>
      <c r="O39" s="160"/>
      <c r="P39" s="160"/>
    </row>
    <row r="40" spans="7:16">
      <c r="G40" s="160"/>
      <c r="H40" s="160"/>
      <c r="I40" s="160"/>
      <c r="J40" s="160"/>
      <c r="K40" s="160"/>
      <c r="L40" s="160"/>
      <c r="M40" s="160"/>
      <c r="N40" s="160"/>
      <c r="O40" s="160"/>
      <c r="P40" s="160"/>
    </row>
  </sheetData>
  <sheetProtection password="D4C7" sheet="1" objects="1" scenarios="1" formatColumns="0" formatRows="0" autoFilter="0"/>
  <mergeCells count="4">
    <mergeCell ref="B2:P2"/>
    <mergeCell ref="B3:P3"/>
    <mergeCell ref="B6:E6"/>
    <mergeCell ref="G8:P8"/>
  </mergeCells>
  <dataValidations count="4">
    <dataValidation type="list" allowBlank="1" showInputMessage="1" showErrorMessage="1" sqref="C5">
      <formula1>LstMatieres</formula1>
    </dataValidation>
    <dataValidation type="list" allowBlank="1" showInputMessage="1" showErrorMessage="1" sqref="B10:B3000">
      <formula1>LstMatieres</formula1>
    </dataValidation>
    <dataValidation type="list" allowBlank="1" showInputMessage="1" showErrorMessage="1" sqref="C10:C3000">
      <formula1>LstEtudiants</formula1>
    </dataValidation>
    <dataValidation type="list" allowBlank="1" showInputMessage="1" showErrorMessage="1" sqref="D10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Matieres">
    <tabColor rgb="FF7F7F7F"/>
  </sheetPr>
  <dimension ref="A1:P18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10.7109375" customWidth="1"/>
    <col min="4" max="4" width="46.7109375" customWidth="1"/>
    <col min="5" max="5" width="15.7109375" customWidth="1"/>
    <col min="6" max="6" width="24.7109375" customWidth="1"/>
    <col min="7" max="9" width="9.7109375" customWidth="1"/>
    <col min="10" max="10" width="11.7109375" customWidth="1"/>
    <col min="11" max="11" width="10.7109375" customWidth="1"/>
    <col min="12" max="12" width="24.7109375" customWidth="1"/>
    <col min="13" max="13" width="3.7109375" customWidth="1"/>
    <col min="14" max="14" width="24.7109375" customWidth="1"/>
    <col min="15" max="15" width="16.7109375" customWidth="1"/>
    <col min="16" max="16" width="28.7109375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240</v>
      </c>
      <c r="C2" s="2"/>
      <c r="D2" s="2"/>
      <c r="E2" s="2"/>
      <c r="F2" s="2"/>
      <c r="G2" s="2"/>
      <c r="H2" s="2"/>
      <c r="I2" s="2"/>
      <c r="J2" s="2"/>
      <c r="K2" s="2"/>
    </row>
    <row r="3" spans="2:16" ht="26" customHeight="1">
      <c r="B3" s="4" t="s">
        <v>241</v>
      </c>
      <c r="C3" s="4"/>
      <c r="D3" s="4"/>
      <c r="E3" s="4"/>
      <c r="F3" s="4"/>
      <c r="G3" s="4"/>
      <c r="H3" s="4"/>
      <c r="I3" s="4"/>
      <c r="J3" s="4"/>
      <c r="K3" s="4"/>
    </row>
    <row r="4" spans="2:16">
      <c r="N4" s="157" t="s">
        <v>308</v>
      </c>
      <c r="O4" s="157"/>
      <c r="P4" s="157"/>
    </row>
    <row r="6" spans="2:16" ht="30" customHeight="1">
      <c r="B6" t="s">
        <v>13</v>
      </c>
      <c r="C6" t="s">
        <v>243</v>
      </c>
      <c r="D6" t="s">
        <v>141</v>
      </c>
      <c r="E6" t="s">
        <v>244</v>
      </c>
      <c r="F6" t="s">
        <v>185</v>
      </c>
      <c r="G6" t="s">
        <v>245</v>
      </c>
      <c r="H6" t="s">
        <v>246</v>
      </c>
      <c r="I6" t="s">
        <v>247</v>
      </c>
      <c r="J6" t="s">
        <v>248</v>
      </c>
      <c r="K6" t="s">
        <v>249</v>
      </c>
      <c r="L6" t="s">
        <v>250</v>
      </c>
      <c r="N6" t="s">
        <v>15</v>
      </c>
      <c r="O6" t="s">
        <v>309</v>
      </c>
      <c r="P6" t="s">
        <v>166</v>
      </c>
    </row>
    <row r="7" spans="2:16" ht="30" customHeight="1">
      <c r="B7" s="161" t="s">
        <v>251</v>
      </c>
      <c r="C7" s="162" t="s">
        <v>252</v>
      </c>
      <c r="D7" s="163" t="s">
        <v>253</v>
      </c>
      <c r="E7" s="162" t="s">
        <v>254</v>
      </c>
      <c r="F7" s="6" t="s">
        <v>255</v>
      </c>
      <c r="G7" s="162">
        <v>42</v>
      </c>
      <c r="H7" s="162">
        <v>0</v>
      </c>
      <c r="I7" s="162">
        <v>0</v>
      </c>
      <c r="J7" s="161">
        <f>tblMatieres[[#This Row],[Cours (h)]]+tblMatieres[[#This Row],[TD (h)]]+tblMatieres[[#This Row],[TP (h)]]</f>
        <v>0</v>
      </c>
      <c r="K7" s="164" t="s">
        <v>256</v>
      </c>
      <c r="L7" s="165">
        <f>tblMatieres[[#This Row],[Code]]&amp;" – "&amp;tblMatieres[[#This Row],[Abrégé]]</f>
        <v>0</v>
      </c>
      <c r="N7" s="166" t="s">
        <v>296</v>
      </c>
      <c r="O7" s="167"/>
      <c r="P7" s="168"/>
    </row>
    <row r="8" spans="2:16" ht="30" customHeight="1">
      <c r="B8" s="161" t="s">
        <v>257</v>
      </c>
      <c r="C8" s="162" t="s">
        <v>252</v>
      </c>
      <c r="D8" s="163" t="s">
        <v>258</v>
      </c>
      <c r="E8" s="162" t="s">
        <v>259</v>
      </c>
      <c r="F8" s="6" t="s">
        <v>260</v>
      </c>
      <c r="G8" s="162">
        <v>35</v>
      </c>
      <c r="H8" s="162">
        <v>21</v>
      </c>
      <c r="I8" s="162">
        <v>0</v>
      </c>
      <c r="J8" s="161">
        <f>tblMatieres[[#This Row],[Cours (h)]]+tblMatieres[[#This Row],[TD (h)]]+tblMatieres[[#This Row],[TP (h)]]</f>
        <v>0</v>
      </c>
      <c r="K8" s="169" t="s">
        <v>261</v>
      </c>
      <c r="L8" s="165">
        <f>tblMatieres[[#This Row],[Code]]&amp;" – "&amp;tblMatieres[[#This Row],[Abrégé]]</f>
        <v>0</v>
      </c>
      <c r="N8" s="166" t="s">
        <v>306</v>
      </c>
      <c r="O8" s="167"/>
      <c r="P8" s="168"/>
    </row>
    <row r="9" spans="2:16" ht="30" customHeight="1">
      <c r="B9" s="161" t="s">
        <v>262</v>
      </c>
      <c r="C9" s="162" t="s">
        <v>263</v>
      </c>
      <c r="D9" s="163" t="s">
        <v>264</v>
      </c>
      <c r="E9" s="162" t="s">
        <v>265</v>
      </c>
      <c r="F9" s="6" t="s">
        <v>266</v>
      </c>
      <c r="G9" s="162">
        <v>0</v>
      </c>
      <c r="H9" s="162">
        <v>0</v>
      </c>
      <c r="I9" s="162">
        <v>42</v>
      </c>
      <c r="J9" s="161">
        <f>tblMatieres[[#This Row],[Cours (h)]]+tblMatieres[[#This Row],[TD (h)]]+tblMatieres[[#This Row],[TP (h)]]</f>
        <v>0</v>
      </c>
      <c r="K9" s="170" t="s">
        <v>267</v>
      </c>
      <c r="L9" s="165">
        <f>tblMatieres[[#This Row],[Code]]&amp;" – "&amp;tblMatieres[[#This Row],[Abrégé]]</f>
        <v>0</v>
      </c>
      <c r="N9" s="166" t="s">
        <v>280</v>
      </c>
      <c r="O9" s="167"/>
      <c r="P9" s="168"/>
    </row>
    <row r="10" spans="2:16" ht="30" customHeight="1">
      <c r="B10" s="161" t="s">
        <v>268</v>
      </c>
      <c r="C10" s="162" t="s">
        <v>263</v>
      </c>
      <c r="D10" s="163" t="s">
        <v>269</v>
      </c>
      <c r="E10" s="162" t="s">
        <v>270</v>
      </c>
      <c r="F10" s="6" t="s">
        <v>271</v>
      </c>
      <c r="G10" s="162">
        <v>11</v>
      </c>
      <c r="H10" s="162">
        <v>45</v>
      </c>
      <c r="I10" s="162">
        <v>0</v>
      </c>
      <c r="J10" s="161">
        <f>tblMatieres[[#This Row],[Cours (h)]]+tblMatieres[[#This Row],[TD (h)]]+tblMatieres[[#This Row],[TP (h)]]</f>
        <v>0</v>
      </c>
      <c r="K10" s="171" t="s">
        <v>272</v>
      </c>
      <c r="L10" s="165">
        <f>tblMatieres[[#This Row],[Code]]&amp;" – "&amp;tblMatieres[[#This Row],[Abrégé]]</f>
        <v>0</v>
      </c>
      <c r="N10" s="166" t="s">
        <v>285</v>
      </c>
      <c r="O10" s="167"/>
      <c r="P10" s="168"/>
    </row>
    <row r="11" spans="2:16" ht="30" customHeight="1">
      <c r="B11" s="161" t="s">
        <v>273</v>
      </c>
      <c r="C11" s="162" t="s">
        <v>273</v>
      </c>
      <c r="D11" s="163" t="s">
        <v>274</v>
      </c>
      <c r="E11" s="162" t="s">
        <v>275</v>
      </c>
      <c r="F11" s="6" t="s">
        <v>266</v>
      </c>
      <c r="G11" s="162">
        <v>35</v>
      </c>
      <c r="H11" s="162">
        <v>21</v>
      </c>
      <c r="I11" s="162">
        <v>0</v>
      </c>
      <c r="J11" s="161">
        <f>tblMatieres[[#This Row],[Cours (h)]]+tblMatieres[[#This Row],[TD (h)]]+tblMatieres[[#This Row],[TP (h)]]</f>
        <v>0</v>
      </c>
      <c r="K11" s="172" t="s">
        <v>276</v>
      </c>
      <c r="L11" s="165">
        <f>tblMatieres[[#This Row],[Code]]&amp;" – "&amp;tblMatieres[[#This Row],[Abrégé]]</f>
        <v>0</v>
      </c>
      <c r="N11" s="166" t="s">
        <v>260</v>
      </c>
      <c r="O11" s="167"/>
      <c r="P11" s="168"/>
    </row>
    <row r="12" spans="2:16" ht="30" customHeight="1">
      <c r="B12" s="161" t="s">
        <v>277</v>
      </c>
      <c r="C12" s="162" t="s">
        <v>277</v>
      </c>
      <c r="D12" s="163" t="s">
        <v>278</v>
      </c>
      <c r="E12" s="162" t="s">
        <v>279</v>
      </c>
      <c r="F12" s="6" t="s">
        <v>280</v>
      </c>
      <c r="G12" s="162">
        <v>56</v>
      </c>
      <c r="H12" s="162">
        <v>0</v>
      </c>
      <c r="I12" s="162">
        <v>0</v>
      </c>
      <c r="J12" s="161">
        <f>tblMatieres[[#This Row],[Cours (h)]]+tblMatieres[[#This Row],[TD (h)]]+tblMatieres[[#This Row],[TP (h)]]</f>
        <v>0</v>
      </c>
      <c r="K12" s="173" t="s">
        <v>281</v>
      </c>
      <c r="L12" s="165">
        <f>tblMatieres[[#This Row],[Code]]&amp;" – "&amp;tblMatieres[[#This Row],[Abrégé]]</f>
        <v>0</v>
      </c>
      <c r="N12" s="166" t="s">
        <v>266</v>
      </c>
      <c r="O12" s="167"/>
      <c r="P12" s="168"/>
    </row>
    <row r="13" spans="2:16" ht="30" customHeight="1">
      <c r="B13" s="161" t="s">
        <v>282</v>
      </c>
      <c r="C13" s="162" t="s">
        <v>282</v>
      </c>
      <c r="D13" s="163" t="s">
        <v>283</v>
      </c>
      <c r="E13" s="162" t="s">
        <v>284</v>
      </c>
      <c r="F13" s="6" t="s">
        <v>285</v>
      </c>
      <c r="G13" s="162">
        <v>56</v>
      </c>
      <c r="H13" s="162">
        <v>0</v>
      </c>
      <c r="I13" s="162">
        <v>0</v>
      </c>
      <c r="J13" s="161">
        <f>tblMatieres[[#This Row],[Cours (h)]]+tblMatieres[[#This Row],[TD (h)]]+tblMatieres[[#This Row],[TP (h)]]</f>
        <v>0</v>
      </c>
      <c r="K13" s="174" t="s">
        <v>286</v>
      </c>
      <c r="L13" s="165">
        <f>tblMatieres[[#This Row],[Code]]&amp;" – "&amp;tblMatieres[[#This Row],[Abrégé]]</f>
        <v>0</v>
      </c>
      <c r="N13" s="166" t="s">
        <v>290</v>
      </c>
      <c r="O13" s="167"/>
      <c r="P13" s="168"/>
    </row>
    <row r="14" spans="2:16" ht="30" customHeight="1">
      <c r="B14" s="161" t="s">
        <v>287</v>
      </c>
      <c r="C14" s="162" t="s">
        <v>287</v>
      </c>
      <c r="D14" s="163" t="s">
        <v>288</v>
      </c>
      <c r="E14" s="162" t="s">
        <v>289</v>
      </c>
      <c r="F14" s="6" t="s">
        <v>290</v>
      </c>
      <c r="G14" s="162">
        <v>42</v>
      </c>
      <c r="H14" s="162">
        <v>0</v>
      </c>
      <c r="I14" s="162">
        <v>0</v>
      </c>
      <c r="J14" s="161">
        <f>tblMatieres[[#This Row],[Cours (h)]]+tblMatieres[[#This Row],[TD (h)]]+tblMatieres[[#This Row],[TP (h)]]</f>
        <v>0</v>
      </c>
      <c r="K14" s="175" t="s">
        <v>291</v>
      </c>
      <c r="L14" s="165">
        <f>tblMatieres[[#This Row],[Code]]&amp;" – "&amp;tblMatieres[[#This Row],[Abrégé]]</f>
        <v>0</v>
      </c>
      <c r="N14" s="166" t="s">
        <v>301</v>
      </c>
      <c r="O14" s="167"/>
      <c r="P14" s="168"/>
    </row>
    <row r="15" spans="2:16" ht="30" customHeight="1">
      <c r="B15" s="161" t="s">
        <v>292</v>
      </c>
      <c r="C15" s="162" t="s">
        <v>293</v>
      </c>
      <c r="D15" s="163" t="s">
        <v>294</v>
      </c>
      <c r="E15" s="162" t="s">
        <v>295</v>
      </c>
      <c r="F15" s="6" t="s">
        <v>296</v>
      </c>
      <c r="G15" s="162">
        <v>28</v>
      </c>
      <c r="H15" s="162">
        <v>0</v>
      </c>
      <c r="I15" s="162">
        <v>0</v>
      </c>
      <c r="J15" s="161">
        <f>tblMatieres[[#This Row],[Cours (h)]]+tblMatieres[[#This Row],[TD (h)]]+tblMatieres[[#This Row],[TP (h)]]</f>
        <v>0</v>
      </c>
      <c r="K15" s="176" t="s">
        <v>297</v>
      </c>
      <c r="L15" s="165">
        <f>tblMatieres[[#This Row],[Code]]&amp;" – "&amp;tblMatieres[[#This Row],[Abrégé]]</f>
        <v>0</v>
      </c>
      <c r="N15" s="166" t="s">
        <v>310</v>
      </c>
      <c r="O15" s="167"/>
      <c r="P15" s="168"/>
    </row>
    <row r="16" spans="2:16" ht="30" customHeight="1">
      <c r="B16" s="161" t="s">
        <v>298</v>
      </c>
      <c r="C16" s="162" t="s">
        <v>293</v>
      </c>
      <c r="D16" s="163" t="s">
        <v>299</v>
      </c>
      <c r="E16" s="162" t="s">
        <v>300</v>
      </c>
      <c r="F16" s="6" t="s">
        <v>301</v>
      </c>
      <c r="G16" s="162">
        <v>28</v>
      </c>
      <c r="H16" s="162">
        <v>0</v>
      </c>
      <c r="I16" s="162">
        <v>0</v>
      </c>
      <c r="J16" s="161">
        <f>tblMatieres[[#This Row],[Cours (h)]]+tblMatieres[[#This Row],[TD (h)]]+tblMatieres[[#This Row],[TP (h)]]</f>
        <v>0</v>
      </c>
      <c r="K16" s="177" t="s">
        <v>302</v>
      </c>
      <c r="L16" s="165">
        <f>tblMatieres[[#This Row],[Code]]&amp;" – "&amp;tblMatieres[[#This Row],[Abrégé]]</f>
        <v>0</v>
      </c>
      <c r="N16" s="166" t="s">
        <v>311</v>
      </c>
      <c r="O16" s="167"/>
      <c r="P16" s="168"/>
    </row>
    <row r="17" spans="2:12" ht="30" customHeight="1">
      <c r="B17" s="161" t="s">
        <v>303</v>
      </c>
      <c r="C17" s="162" t="s">
        <v>303</v>
      </c>
      <c r="D17" s="163" t="s">
        <v>304</v>
      </c>
      <c r="E17" s="162" t="s">
        <v>305</v>
      </c>
      <c r="F17" s="6" t="s">
        <v>306</v>
      </c>
      <c r="G17" s="162">
        <v>28</v>
      </c>
      <c r="H17" s="162">
        <v>0</v>
      </c>
      <c r="I17" s="162">
        <v>0</v>
      </c>
      <c r="J17" s="161">
        <f>tblMatieres[[#This Row],[Cours (h)]]+tblMatieres[[#This Row],[TD (h)]]+tblMatieres[[#This Row],[TP (h)]]</f>
        <v>0</v>
      </c>
      <c r="K17" s="178" t="s">
        <v>307</v>
      </c>
      <c r="L17" s="165">
        <f>tblMatieres[[#This Row],[Code]]&amp;" – "&amp;tblMatieres[[#This Row],[Abrégé]]</f>
        <v>0</v>
      </c>
    </row>
    <row r="18" spans="2:12">
      <c r="B18" s="161" t="s">
        <v>242</v>
      </c>
      <c r="G18" s="162">
        <f>SUBTOTAL(109,tblMatieres[Cours (h)])</f>
        <v>0</v>
      </c>
      <c r="H18" s="162">
        <f>SUBTOTAL(109,tblMatieres[TD (h)])</f>
        <v>0</v>
      </c>
      <c r="I18" s="162">
        <f>SUBTOTAL(109,tblMatieres[TP (h)])</f>
        <v>0</v>
      </c>
      <c r="J18" s="161">
        <f>SUBTOTAL(109,tblMatieres[Volume total (h)])</f>
        <v>0</v>
      </c>
    </row>
  </sheetData>
  <sheetProtection password="D4C7" sheet="1" objects="1" scenarios="1" formatColumns="0" formatRows="0" autoFilter="0"/>
  <mergeCells count="3">
    <mergeCell ref="B2:K2"/>
    <mergeCell ref="B3:K3"/>
    <mergeCell ref="N4:P4"/>
  </mergeCells>
  <dataValidations count="1">
    <dataValidation type="list" errorStyle="information" allowBlank="1" showInputMessage="1" showErrorMessage="1" sqref="F7:F60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DT">
    <tabColor rgb="FF7F7F7F"/>
  </sheetPr>
  <dimension ref="A1:S18"/>
  <sheetViews>
    <sheetView showGridLines="0" zoomScale="90" zoomScaleNormal="90" workbookViewId="0"/>
  </sheetViews>
  <sheetFormatPr defaultRowHeight="15"/>
  <cols>
    <col min="1" max="1" width="2.7109375" customWidth="1"/>
    <col min="2" max="2" width="10.7109375" customWidth="1"/>
    <col min="3" max="3" width="7.7109375" customWidth="1"/>
    <col min="4" max="5" width="8.7109375" customWidth="1"/>
    <col min="6" max="6" width="11.7109375" customWidth="1"/>
    <col min="7" max="7" width="30.7109375" customWidth="1"/>
    <col min="8" max="8" width="20.7109375" customWidth="1"/>
    <col min="9" max="9" width="9.7109375" customWidth="1"/>
    <col min="10" max="10" width="8.7109375" customWidth="1"/>
    <col min="11" max="11" width="9.7109375" customWidth="1"/>
    <col min="12" max="12" width="3.7109375" customWidth="1"/>
    <col min="13" max="13" width="11.7109375" customWidth="1"/>
    <col min="14" max="19" width="19.7109375" customWidth="1"/>
  </cols>
  <sheetData>
    <row r="1" spans="2:19" ht="8" customHeight="1">
      <c r="B1" s="1" t="s">
        <v>1</v>
      </c>
      <c r="C1" s="1" t="s">
        <v>2</v>
      </c>
    </row>
    <row r="2" spans="2:19" ht="34" customHeight="1">
      <c r="B2" s="2" t="s">
        <v>312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6" customHeight="1">
      <c r="B3" s="4" t="s">
        <v>313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6" spans="2:19" ht="30" customHeight="1">
      <c r="B6" t="s">
        <v>110</v>
      </c>
      <c r="C6" t="s">
        <v>314</v>
      </c>
      <c r="D6" t="s">
        <v>111</v>
      </c>
      <c r="E6" t="s">
        <v>112</v>
      </c>
      <c r="F6" t="s">
        <v>114</v>
      </c>
      <c r="G6" t="s">
        <v>14</v>
      </c>
      <c r="H6" t="s">
        <v>15</v>
      </c>
      <c r="I6" t="s">
        <v>16</v>
      </c>
      <c r="J6" t="s">
        <v>113</v>
      </c>
      <c r="K6" t="s">
        <v>315</v>
      </c>
      <c r="M6" s="179" t="s">
        <v>12</v>
      </c>
      <c r="N6" s="179" t="s">
        <v>324</v>
      </c>
      <c r="O6" s="179" t="s">
        <v>325</v>
      </c>
      <c r="P6" s="179" t="s">
        <v>326</v>
      </c>
      <c r="Q6" s="179" t="s">
        <v>327</v>
      </c>
      <c r="R6" s="179" t="s">
        <v>328</v>
      </c>
      <c r="S6" s="179" t="s">
        <v>329</v>
      </c>
    </row>
    <row r="7" spans="2:19" ht="30" customHeight="1">
      <c r="B7" s="161" t="s">
        <v>316</v>
      </c>
      <c r="C7" s="180">
        <f>IFERROR(MATCH(tblEDT[[#This Row],[Jour]],{"Lundi","Mardi","Mercredi","Jeudi","Vendredi","Samedi","Dimanche"},0),"")</f>
        <v>0</v>
      </c>
      <c r="D7" s="141">
        <v>0.3333333333333333</v>
      </c>
      <c r="E7" s="141">
        <v>0.5</v>
      </c>
      <c r="F7" s="161" t="s">
        <v>277</v>
      </c>
      <c r="G7" s="6">
        <f>IFERROR(IFERROR(INDEX(tblMatieres[Intitulé],MATCH(tblEDT[[#This Row],[Code matière]],tblMatieres[Code],0)),""),"")</f>
        <v>0</v>
      </c>
      <c r="H7" s="6">
        <f>IFERROR(IFERROR(INDEX(tblMatieres[Enseignant(s)],MATCH(tblEDT[[#This Row],[Code matière]],tblMatieres[Code],0)),""),"")</f>
        <v>0</v>
      </c>
      <c r="I7" s="162" t="s">
        <v>317</v>
      </c>
      <c r="J7" s="181">
        <f>IF(OR(tblEDT[[#This Row],[Début]]="",tblEDT[[#This Row],[Fin]]=""),"",ROUND((tblEDT[[#This Row],[Fin]]-tblEDT[[#This Row],[Début]])*24,2))</f>
        <v>0</v>
      </c>
      <c r="K7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7" s="183" t="s">
        <v>330</v>
      </c>
      <c r="N7" s="184" t="s">
        <v>341</v>
      </c>
      <c r="O7" s="185" t="s">
        <v>343</v>
      </c>
      <c r="P7" s="186" t="s">
        <v>345</v>
      </c>
      <c r="Q7" s="187" t="s">
        <v>347</v>
      </c>
      <c r="R7" s="188" t="s">
        <v>352</v>
      </c>
      <c r="S7" s="184" t="s">
        <v>341</v>
      </c>
    </row>
    <row r="8" spans="2:19" ht="30" customHeight="1">
      <c r="B8" s="161" t="s">
        <v>316</v>
      </c>
      <c r="C8" s="180">
        <f>IFERROR(MATCH(tblEDT[[#This Row],[Jour]],{"Lundi","Mardi","Mercredi","Jeudi","Vendredi","Samedi","Dimanche"},0),"")</f>
        <v>0</v>
      </c>
      <c r="D8" s="141">
        <v>0.5833333333333334</v>
      </c>
      <c r="E8" s="141">
        <v>0.7083333333333334</v>
      </c>
      <c r="F8" s="161" t="s">
        <v>251</v>
      </c>
      <c r="G8" s="6">
        <f>IFERROR(IFERROR(INDEX(tblMatieres[Intitulé],MATCH(tblEDT[[#This Row],[Code matière]],tblMatieres[Code],0)),""),"")</f>
        <v>0</v>
      </c>
      <c r="H8" s="6">
        <f>IFERROR(IFERROR(INDEX(tblMatieres[Enseignant(s)],MATCH(tblEDT[[#This Row],[Code matière]],tblMatieres[Code],0)),""),"")</f>
        <v>0</v>
      </c>
      <c r="I8" s="162" t="s">
        <v>317</v>
      </c>
      <c r="J8" s="181">
        <f>IF(OR(tblEDT[[#This Row],[Début]]="",tblEDT[[#This Row],[Fin]]=""),"",ROUND((tblEDT[[#This Row],[Fin]]-tblEDT[[#This Row],[Début]])*24,2))</f>
        <v>0</v>
      </c>
      <c r="K8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8" s="183" t="s">
        <v>331</v>
      </c>
      <c r="N8" s="184"/>
      <c r="O8" s="185"/>
      <c r="P8" s="186"/>
      <c r="Q8" s="187"/>
      <c r="R8" s="188"/>
      <c r="S8" s="184"/>
    </row>
    <row r="9" spans="2:19" ht="30" customHeight="1">
      <c r="B9" s="161" t="s">
        <v>318</v>
      </c>
      <c r="C9" s="180">
        <f>IFERROR(MATCH(tblEDT[[#This Row],[Jour]],{"Lundi","Mardi","Mercredi","Jeudi","Vendredi","Samedi","Dimanche"},0),"")</f>
        <v>0</v>
      </c>
      <c r="D9" s="141">
        <v>0.3333333333333333</v>
      </c>
      <c r="E9" s="141">
        <v>0.5</v>
      </c>
      <c r="F9" s="161" t="s">
        <v>287</v>
      </c>
      <c r="G9" s="6">
        <f>IFERROR(IFERROR(INDEX(tblMatieres[Intitulé],MATCH(tblEDT[[#This Row],[Code matière]],tblMatieres[Code],0)),""),"")</f>
        <v>0</v>
      </c>
      <c r="H9" s="6">
        <f>IFERROR(IFERROR(INDEX(tblMatieres[Enseignant(s)],MATCH(tblEDT[[#This Row],[Code matière]],tblMatieres[Code],0)),""),"")</f>
        <v>0</v>
      </c>
      <c r="I9" s="162" t="s">
        <v>317</v>
      </c>
      <c r="J9" s="181">
        <f>IF(OR(tblEDT[[#This Row],[Début]]="",tblEDT[[#This Row],[Fin]]=""),"",ROUND((tblEDT[[#This Row],[Fin]]-tblEDT[[#This Row],[Début]])*24,2))</f>
        <v>0</v>
      </c>
      <c r="K9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9" s="183" t="s">
        <v>332</v>
      </c>
      <c r="N9" s="184"/>
      <c r="O9" s="185"/>
      <c r="P9" s="186"/>
      <c r="Q9" s="187"/>
      <c r="R9" s="188"/>
      <c r="S9" s="184"/>
    </row>
    <row r="10" spans="2:19" ht="30" customHeight="1">
      <c r="B10" s="161" t="s">
        <v>318</v>
      </c>
      <c r="C10" s="180">
        <f>IFERROR(MATCH(tblEDT[[#This Row],[Jour]],{"Lundi","Mardi","Mercredi","Jeudi","Vendredi","Samedi","Dimanche"},0),"")</f>
        <v>0</v>
      </c>
      <c r="D10" s="141">
        <v>0.5833333333333334</v>
      </c>
      <c r="E10" s="141">
        <v>0.75</v>
      </c>
      <c r="F10" s="161" t="s">
        <v>273</v>
      </c>
      <c r="G10" s="6">
        <f>IFERROR(IFERROR(INDEX(tblMatieres[Intitulé],MATCH(tblEDT[[#This Row],[Code matière]],tblMatieres[Code],0)),""),"")</f>
        <v>0</v>
      </c>
      <c r="H10" s="6">
        <f>IFERROR(IFERROR(INDEX(tblMatieres[Enseignant(s)],MATCH(tblEDT[[#This Row],[Code matière]],tblMatieres[Code],0)),""),"")</f>
        <v>0</v>
      </c>
      <c r="I10" s="162" t="s">
        <v>319</v>
      </c>
      <c r="J10" s="181">
        <f>IF(OR(tblEDT[[#This Row],[Début]]="",tblEDT[[#This Row],[Fin]]=""),"",ROUND((tblEDT[[#This Row],[Fin]]-tblEDT[[#This Row],[Début]])*24,2))</f>
        <v>0</v>
      </c>
      <c r="K10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0" s="183" t="s">
        <v>333</v>
      </c>
      <c r="N10" s="184"/>
      <c r="O10" s="185"/>
      <c r="P10" s="189" t="s">
        <v>346</v>
      </c>
      <c r="Q10" s="190" t="s">
        <v>348</v>
      </c>
      <c r="R10" s="188"/>
      <c r="S10" s="184"/>
    </row>
    <row r="11" spans="2:19" ht="30" customHeight="1">
      <c r="B11" s="161" t="s">
        <v>320</v>
      </c>
      <c r="C11" s="180">
        <f>IFERROR(MATCH(tblEDT[[#This Row],[Jour]],{"Lundi","Mardi","Mercredi","Jeudi","Vendredi","Samedi","Dimanche"},0),"")</f>
        <v>0</v>
      </c>
      <c r="D11" s="141">
        <v>0.3333333333333333</v>
      </c>
      <c r="E11" s="141">
        <v>0.4583333333333333</v>
      </c>
      <c r="F11" s="161" t="s">
        <v>282</v>
      </c>
      <c r="G11" s="6">
        <f>IFERROR(IFERROR(INDEX(tblMatieres[Intitulé],MATCH(tblEDT[[#This Row],[Code matière]],tblMatieres[Code],0)),""),"")</f>
        <v>0</v>
      </c>
      <c r="H11" s="6">
        <f>IFERROR(IFERROR(INDEX(tblMatieres[Enseignant(s)],MATCH(tblEDT[[#This Row],[Code matière]],tblMatieres[Code],0)),""),"")</f>
        <v>0</v>
      </c>
      <c r="I11" s="162" t="s">
        <v>317</v>
      </c>
      <c r="J11" s="181">
        <f>IF(OR(tblEDT[[#This Row],[Début]]="",tblEDT[[#This Row],[Fin]]=""),"",ROUND((tblEDT[[#This Row],[Fin]]-tblEDT[[#This Row],[Début]])*24,2))</f>
        <v>0</v>
      </c>
      <c r="K11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1" s="183" t="s">
        <v>334</v>
      </c>
      <c r="N11" s="191"/>
      <c r="O11" s="191"/>
      <c r="P11" s="189"/>
      <c r="Q11" s="190"/>
      <c r="R11" s="191"/>
      <c r="S11" s="191"/>
    </row>
    <row r="12" spans="2:19" ht="30" customHeight="1">
      <c r="B12" s="161" t="s">
        <v>320</v>
      </c>
      <c r="C12" s="180">
        <f>IFERROR(MATCH(tblEDT[[#This Row],[Jour]],{"Lundi","Mardi","Mercredi","Jeudi","Vendredi","Samedi","Dimanche"},0),"")</f>
        <v>0</v>
      </c>
      <c r="D12" s="141">
        <v>0.4583333333333333</v>
      </c>
      <c r="E12" s="141">
        <v>0.5416666666666666</v>
      </c>
      <c r="F12" s="161" t="s">
        <v>298</v>
      </c>
      <c r="G12" s="6">
        <f>IFERROR(IFERROR(INDEX(tblMatieres[Intitulé],MATCH(tblEDT[[#This Row],[Code matière]],tblMatieres[Code],0)),""),"")</f>
        <v>0</v>
      </c>
      <c r="H12" s="6">
        <f>IFERROR(IFERROR(INDEX(tblMatieres[Enseignant(s)],MATCH(tblEDT[[#This Row],[Code matière]],tblMatieres[Code],0)),""),"")</f>
        <v>0</v>
      </c>
      <c r="I12" s="162" t="s">
        <v>317</v>
      </c>
      <c r="J12" s="181">
        <f>IF(OR(tblEDT[[#This Row],[Début]]="",tblEDT[[#This Row],[Fin]]=""),"",ROUND((tblEDT[[#This Row],[Fin]]-tblEDT[[#This Row],[Début]])*24,2))</f>
        <v>0</v>
      </c>
      <c r="K12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2" s="183" t="s">
        <v>335</v>
      </c>
      <c r="N12" s="192" t="s">
        <v>353</v>
      </c>
      <c r="O12" s="192"/>
      <c r="P12" s="192"/>
      <c r="Q12" s="192"/>
      <c r="R12" s="192"/>
      <c r="S12" s="192"/>
    </row>
    <row r="13" spans="2:19" ht="30" customHeight="1">
      <c r="B13" s="161" t="s">
        <v>321</v>
      </c>
      <c r="C13" s="180">
        <f>IFERROR(MATCH(tblEDT[[#This Row],[Jour]],{"Lundi","Mardi","Mercredi","Jeudi","Vendredi","Samedi","Dimanche"},0),"")</f>
        <v>0</v>
      </c>
      <c r="D13" s="141">
        <v>0.3333333333333333</v>
      </c>
      <c r="E13" s="141">
        <v>0.4583333333333333</v>
      </c>
      <c r="F13" s="161" t="s">
        <v>268</v>
      </c>
      <c r="G13" s="6">
        <f>IFERROR(IFERROR(INDEX(tblMatieres[Intitulé],MATCH(tblEDT[[#This Row],[Code matière]],tblMatieres[Code],0)),""),"")</f>
        <v>0</v>
      </c>
      <c r="H13" s="6">
        <f>IFERROR(IFERROR(INDEX(tblMatieres[Enseignant(s)],MATCH(tblEDT[[#This Row],[Code matière]],tblMatieres[Code],0)),""),"")</f>
        <v>0</v>
      </c>
      <c r="I13" s="162" t="s">
        <v>317</v>
      </c>
      <c r="J13" s="181">
        <f>IF(OR(tblEDT[[#This Row],[Début]]="",tblEDT[[#This Row],[Fin]]=""),"",ROUND((tblEDT[[#This Row],[Fin]]-tblEDT[[#This Row],[Début]])*24,2))</f>
        <v>0</v>
      </c>
      <c r="K13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3" s="183" t="s">
        <v>336</v>
      </c>
      <c r="N13" s="193" t="s">
        <v>342</v>
      </c>
      <c r="O13" s="194" t="s">
        <v>344</v>
      </c>
      <c r="P13" s="191"/>
      <c r="Q13" s="195" t="s">
        <v>349</v>
      </c>
      <c r="R13" s="196" t="s">
        <v>350</v>
      </c>
      <c r="S13" s="191"/>
    </row>
    <row r="14" spans="2:19" ht="30" customHeight="1">
      <c r="B14" s="161" t="s">
        <v>321</v>
      </c>
      <c r="C14" s="180">
        <f>IFERROR(MATCH(tblEDT[[#This Row],[Jour]],{"Lundi","Mardi","Mercredi","Jeudi","Vendredi","Samedi","Dimanche"},0),"")</f>
        <v>0</v>
      </c>
      <c r="D14" s="141">
        <v>0.4583333333333333</v>
      </c>
      <c r="E14" s="141">
        <v>0.5416666666666666</v>
      </c>
      <c r="F14" s="161" t="s">
        <v>292</v>
      </c>
      <c r="G14" s="6">
        <f>IFERROR(IFERROR(INDEX(tblMatieres[Intitulé],MATCH(tblEDT[[#This Row],[Code matière]],tblMatieres[Code],0)),""),"")</f>
        <v>0</v>
      </c>
      <c r="H14" s="6">
        <f>IFERROR(IFERROR(INDEX(tblMatieres[Enseignant(s)],MATCH(tblEDT[[#This Row],[Code matière]],tblMatieres[Code],0)),""),"")</f>
        <v>0</v>
      </c>
      <c r="I14" s="162" t="s">
        <v>317</v>
      </c>
      <c r="J14" s="181">
        <f>IF(OR(tblEDT[[#This Row],[Début]]="",tblEDT[[#This Row],[Fin]]=""),"",ROUND((tblEDT[[#This Row],[Fin]]-tblEDT[[#This Row],[Début]])*24,2))</f>
        <v>0</v>
      </c>
      <c r="K14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4" s="183" t="s">
        <v>337</v>
      </c>
      <c r="N14" s="193"/>
      <c r="O14" s="194"/>
      <c r="P14" s="191"/>
      <c r="Q14" s="195"/>
      <c r="R14" s="196"/>
      <c r="S14" s="191"/>
    </row>
    <row r="15" spans="2:19" ht="30" customHeight="1">
      <c r="B15" s="161" t="s">
        <v>321</v>
      </c>
      <c r="C15" s="180">
        <f>IFERROR(MATCH(tblEDT[[#This Row],[Jour]],{"Lundi","Mardi","Mercredi","Jeudi","Vendredi","Samedi","Dimanche"},0),"")</f>
        <v>0</v>
      </c>
      <c r="D15" s="141">
        <v>0.5833333333333334</v>
      </c>
      <c r="E15" s="141">
        <v>0.75</v>
      </c>
      <c r="F15" s="161" t="s">
        <v>257</v>
      </c>
      <c r="G15" s="6">
        <f>IFERROR(IFERROR(INDEX(tblMatieres[Intitulé],MATCH(tblEDT[[#This Row],[Code matière]],tblMatieres[Code],0)),""),"")</f>
        <v>0</v>
      </c>
      <c r="H15" s="6">
        <f>IFERROR(IFERROR(INDEX(tblMatieres[Enseignant(s)],MATCH(tblEDT[[#This Row],[Code matière]],tblMatieres[Code],0)),""),"")</f>
        <v>0</v>
      </c>
      <c r="I15" s="162" t="s">
        <v>319</v>
      </c>
      <c r="J15" s="181">
        <f>IF(OR(tblEDT[[#This Row],[Début]]="",tblEDT[[#This Row],[Fin]]=""),"",ROUND((tblEDT[[#This Row],[Fin]]-tblEDT[[#This Row],[Début]])*24,2))</f>
        <v>0</v>
      </c>
      <c r="K15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5" s="183" t="s">
        <v>338</v>
      </c>
      <c r="N15" s="193"/>
      <c r="O15" s="194"/>
      <c r="P15" s="191"/>
      <c r="Q15" s="195"/>
      <c r="R15" s="197" t="s">
        <v>351</v>
      </c>
      <c r="S15" s="191"/>
    </row>
    <row r="16" spans="2:19" ht="30" customHeight="1">
      <c r="B16" s="161" t="s">
        <v>322</v>
      </c>
      <c r="C16" s="180">
        <f>IFERROR(MATCH(tblEDT[[#This Row],[Jour]],{"Lundi","Mardi","Mercredi","Jeudi","Vendredi","Samedi","Dimanche"},0),"")</f>
        <v>0</v>
      </c>
      <c r="D16" s="141">
        <v>0.5833333333333334</v>
      </c>
      <c r="E16" s="141">
        <v>0.6666666666666666</v>
      </c>
      <c r="F16" s="161" t="s">
        <v>303</v>
      </c>
      <c r="G16" s="6">
        <f>IFERROR(IFERROR(INDEX(tblMatieres[Intitulé],MATCH(tblEDT[[#This Row],[Code matière]],tblMatieres[Code],0)),""),"")</f>
        <v>0</v>
      </c>
      <c r="H16" s="6">
        <f>IFERROR(IFERROR(INDEX(tblMatieres[Enseignant(s)],MATCH(tblEDT[[#This Row],[Code matière]],tblMatieres[Code],0)),""),"")</f>
        <v>0</v>
      </c>
      <c r="I16" s="162"/>
      <c r="J16" s="181">
        <f>IF(OR(tblEDT[[#This Row],[Début]]="",tblEDT[[#This Row],[Fin]]=""),"",ROUND((tblEDT[[#This Row],[Fin]]-tblEDT[[#This Row],[Début]])*24,2))</f>
        <v>0</v>
      </c>
      <c r="K16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6" s="183" t="s">
        <v>339</v>
      </c>
      <c r="N16" s="191"/>
      <c r="O16" s="194"/>
      <c r="P16" s="191"/>
      <c r="Q16" s="195"/>
      <c r="R16" s="197"/>
      <c r="S16" s="191"/>
    </row>
    <row r="17" spans="2:19" ht="30" customHeight="1">
      <c r="B17" s="161" t="s">
        <v>322</v>
      </c>
      <c r="C17" s="180">
        <f>IFERROR(MATCH(tblEDT[[#This Row],[Jour]],{"Lundi","Mardi","Mercredi","Jeudi","Vendredi","Samedi","Dimanche"},0),"")</f>
        <v>0</v>
      </c>
      <c r="D17" s="141">
        <v>0.6666666666666666</v>
      </c>
      <c r="E17" s="141">
        <v>0.75</v>
      </c>
      <c r="F17" s="161" t="s">
        <v>262</v>
      </c>
      <c r="G17" s="6">
        <f>IFERROR(IFERROR(INDEX(tblMatieres[Intitulé],MATCH(tblEDT[[#This Row],[Code matière]],tblMatieres[Code],0)),""),"")</f>
        <v>0</v>
      </c>
      <c r="H17" s="6">
        <f>IFERROR(IFERROR(INDEX(tblMatieres[Enseignant(s)],MATCH(tblEDT[[#This Row],[Code matière]],tblMatieres[Code],0)),""),"")</f>
        <v>0</v>
      </c>
      <c r="I17" s="162"/>
      <c r="J17" s="181">
        <f>IF(OR(tblEDT[[#This Row],[Début]]="",tblEDT[[#This Row],[Fin]]=""),"",ROUND((tblEDT[[#This Row],[Fin]]-tblEDT[[#This Row],[Début]])*24,2))</f>
        <v>0</v>
      </c>
      <c r="K17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7" s="183" t="s">
        <v>340</v>
      </c>
      <c r="N17" s="191"/>
      <c r="O17" s="191"/>
      <c r="P17" s="191"/>
      <c r="Q17" s="191"/>
      <c r="R17" s="191"/>
      <c r="S17" s="191"/>
    </row>
    <row r="18" spans="2:19">
      <c r="B18" s="161" t="s">
        <v>323</v>
      </c>
      <c r="C18" s="180">
        <f>IFERROR(MATCH(tblEDT[[#This Row],[Jour]],{"Lundi","Mardi","Mercredi","Jeudi","Vendredi","Samedi","Dimanche"},0),"")</f>
        <v>0</v>
      </c>
      <c r="D18" s="141">
        <v>0.3333333333333333</v>
      </c>
      <c r="E18" s="141">
        <v>0.5</v>
      </c>
      <c r="F18" s="161" t="s">
        <v>277</v>
      </c>
      <c r="G18" s="6">
        <f>IFERROR(IFERROR(INDEX(tblMatieres[Intitulé],MATCH(tblEDT[[#This Row],[Code matière]],tblMatieres[Code],0)),""),"")</f>
        <v>0</v>
      </c>
      <c r="H18" s="6">
        <f>IFERROR(IFERROR(INDEX(tblMatieres[Enseignant(s)],MATCH(tblEDT[[#This Row],[Code matière]],tblMatieres[Code],0)),""),"")</f>
        <v>0</v>
      </c>
      <c r="I18" s="162" t="s">
        <v>317</v>
      </c>
      <c r="J18" s="181">
        <f>IF(OR(tblEDT[[#This Row],[Début]]="",tblEDT[[#This Row],[Fin]]=""),"",ROUND((tblEDT[[#This Row],[Fin]]-tblEDT[[#This Row],[Début]])*24,2))</f>
        <v>0</v>
      </c>
      <c r="K18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</row>
  </sheetData>
  <sheetProtection password="D4C7" sheet="1" objects="1" scenarios="1" formatColumns="0" formatRows="0" autoFilter="0"/>
  <mergeCells count="16">
    <mergeCell ref="B2:S2"/>
    <mergeCell ref="B3:S3"/>
    <mergeCell ref="N7:N10"/>
    <mergeCell ref="N13:N15"/>
    <mergeCell ref="O7:O10"/>
    <mergeCell ref="O13:O16"/>
    <mergeCell ref="P7:P9"/>
    <mergeCell ref="P10:P11"/>
    <mergeCell ref="Q7:Q9"/>
    <mergeCell ref="Q10:Q11"/>
    <mergeCell ref="Q13:Q16"/>
    <mergeCell ref="R13:R14"/>
    <mergeCell ref="R15:R16"/>
    <mergeCell ref="S7:S10"/>
    <mergeCell ref="R7:R10"/>
    <mergeCell ref="N12:S12"/>
  </mergeCells>
  <dataValidations count="2">
    <dataValidation type="list" allowBlank="1" showInputMessage="1" showErrorMessage="1" sqref="B7:B200">
      <formula1>LstJours</formula1>
    </dataValidation>
    <dataValidation type="list" allowBlank="1" showInputMessage="1" showErrorMessage="1" sqref="F7:F2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Param">
    <tabColor rgb="FF7F7F7F"/>
  </sheetPr>
  <dimension ref="A1:N34"/>
  <sheetViews>
    <sheetView showGridLines="0" zoomScale="90" zoomScaleNormal="90" workbookViewId="0"/>
  </sheetViews>
  <sheetFormatPr defaultRowHeight="15"/>
  <cols>
    <col min="1" max="1" width="2.7109375" customWidth="1"/>
    <col min="2" max="2" width="44.7109375" customWidth="1"/>
    <col min="3" max="3" width="36.7109375" customWidth="1"/>
    <col min="4" max="4" width="3.7109375" customWidth="1"/>
    <col min="5" max="5" width="9.7109375" customWidth="1"/>
    <col min="6" max="6" width="14.7109375" customWidth="1"/>
    <col min="7" max="9" width="13.7109375" customWidth="1"/>
    <col min="10" max="10" width="11.7109375" customWidth="1"/>
    <col min="11" max="11" width="30.7109375" customWidth="1"/>
    <col min="12" max="13" width="3.7109375" customWidth="1"/>
    <col min="14" max="14" width="14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354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355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356</v>
      </c>
      <c r="C5" s="8"/>
      <c r="E5" s="8" t="s">
        <v>374</v>
      </c>
      <c r="F5" s="8"/>
      <c r="G5" s="8"/>
      <c r="H5" s="8"/>
      <c r="I5" s="8"/>
      <c r="J5" s="8"/>
      <c r="K5" s="8"/>
      <c r="N5" s="157" t="s">
        <v>394</v>
      </c>
    </row>
    <row r="6" spans="2:14" ht="30" customHeight="1">
      <c r="B6" s="64" t="s">
        <v>357</v>
      </c>
      <c r="C6" s="65" t="s">
        <v>358</v>
      </c>
      <c r="E6" s="103" t="s">
        <v>375</v>
      </c>
      <c r="F6" s="103" t="s">
        <v>84</v>
      </c>
      <c r="G6" s="103" t="s">
        <v>86</v>
      </c>
      <c r="H6" s="103" t="s">
        <v>384</v>
      </c>
      <c r="I6" s="103" t="s">
        <v>389</v>
      </c>
      <c r="J6" s="103" t="s">
        <v>391</v>
      </c>
      <c r="K6" s="103" t="s">
        <v>392</v>
      </c>
      <c r="N6" t="s">
        <v>103</v>
      </c>
    </row>
    <row r="7" spans="2:14" ht="21" customHeight="1">
      <c r="B7" s="64" t="s">
        <v>359</v>
      </c>
      <c r="C7" s="65" t="s">
        <v>360</v>
      </c>
      <c r="E7" s="59" t="s">
        <v>68</v>
      </c>
      <c r="F7" s="162" t="s">
        <v>69</v>
      </c>
      <c r="G7" s="162" t="s">
        <v>377</v>
      </c>
      <c r="H7" s="162" t="s">
        <v>385</v>
      </c>
      <c r="I7" s="162" t="s">
        <v>390</v>
      </c>
      <c r="J7" s="162" t="s">
        <v>316</v>
      </c>
      <c r="K7" s="162" t="s">
        <v>225</v>
      </c>
      <c r="N7" s="167" t="s">
        <v>395</v>
      </c>
    </row>
    <row r="8" spans="2:14" ht="21" customHeight="1">
      <c r="B8" s="64" t="s">
        <v>361</v>
      </c>
      <c r="C8" s="65" t="s">
        <v>362</v>
      </c>
      <c r="E8" s="61" t="s">
        <v>22</v>
      </c>
      <c r="F8" s="162" t="s">
        <v>70</v>
      </c>
      <c r="G8" s="162" t="s">
        <v>378</v>
      </c>
      <c r="H8" s="162" t="s">
        <v>386</v>
      </c>
      <c r="I8" s="162" t="s">
        <v>103</v>
      </c>
      <c r="J8" s="162" t="s">
        <v>318</v>
      </c>
      <c r="K8" s="162" t="s">
        <v>393</v>
      </c>
      <c r="N8" s="167" t="s">
        <v>396</v>
      </c>
    </row>
    <row r="9" spans="2:14" ht="21" customHeight="1">
      <c r="B9" s="64" t="s">
        <v>363</v>
      </c>
      <c r="C9" s="65" t="s">
        <v>364</v>
      </c>
      <c r="E9" s="62" t="s">
        <v>71</v>
      </c>
      <c r="F9" s="162" t="s">
        <v>72</v>
      </c>
      <c r="G9" s="162" t="s">
        <v>379</v>
      </c>
      <c r="H9" s="162" t="s">
        <v>387</v>
      </c>
      <c r="J9" s="162" t="s">
        <v>320</v>
      </c>
      <c r="N9" s="167" t="s">
        <v>397</v>
      </c>
    </row>
    <row r="10" spans="2:14" ht="21" customHeight="1">
      <c r="B10" s="64" t="s">
        <v>365</v>
      </c>
      <c r="C10" s="65" t="s">
        <v>366</v>
      </c>
      <c r="E10" s="63" t="s">
        <v>50</v>
      </c>
      <c r="F10" s="162" t="s">
        <v>376</v>
      </c>
      <c r="G10" s="162" t="s">
        <v>380</v>
      </c>
      <c r="H10" s="162" t="s">
        <v>388</v>
      </c>
      <c r="J10" s="162" t="s">
        <v>321</v>
      </c>
      <c r="N10" s="167" t="s">
        <v>398</v>
      </c>
    </row>
    <row r="11" spans="2:14" ht="21" customHeight="1">
      <c r="B11" s="64" t="s">
        <v>367</v>
      </c>
      <c r="C11" s="65" t="s">
        <v>368</v>
      </c>
      <c r="G11" s="162" t="s">
        <v>381</v>
      </c>
      <c r="J11" s="162" t="s">
        <v>322</v>
      </c>
      <c r="N11" s="167" t="s">
        <v>399</v>
      </c>
    </row>
    <row r="12" spans="2:14" ht="21" customHeight="1">
      <c r="B12" s="64" t="s">
        <v>369</v>
      </c>
      <c r="C12" s="150">
        <v>46293</v>
      </c>
      <c r="G12" s="162" t="s">
        <v>382</v>
      </c>
      <c r="J12" s="162" t="s">
        <v>323</v>
      </c>
      <c r="N12" s="167" t="s">
        <v>400</v>
      </c>
    </row>
    <row r="13" spans="2:14" ht="21" customHeight="1">
      <c r="B13" s="64" t="s">
        <v>370</v>
      </c>
      <c r="C13" s="150">
        <v>46409</v>
      </c>
      <c r="G13" s="162" t="s">
        <v>383</v>
      </c>
      <c r="N13" s="167" t="s">
        <v>401</v>
      </c>
    </row>
    <row r="14" spans="2:14" ht="21" customHeight="1">
      <c r="B14" s="64" t="s">
        <v>371</v>
      </c>
      <c r="C14" s="65">
        <v>3</v>
      </c>
    </row>
    <row r="15" spans="2:14" ht="21" customHeight="1">
      <c r="B15" s="64" t="s">
        <v>372</v>
      </c>
      <c r="C15" s="65">
        <v>30</v>
      </c>
    </row>
    <row r="16" spans="2:14" ht="21" customHeight="1">
      <c r="B16" s="64" t="s">
        <v>373</v>
      </c>
      <c r="C16" s="65"/>
    </row>
    <row r="19" spans="2:3">
      <c r="B19" s="8" t="s">
        <v>402</v>
      </c>
      <c r="C19" s="8"/>
    </row>
    <row r="20" spans="2:3">
      <c r="B20" s="60" t="s">
        <v>403</v>
      </c>
      <c r="C20" s="198" t="s">
        <v>404</v>
      </c>
    </row>
    <row r="21" spans="2:3">
      <c r="B21" s="60" t="s">
        <v>405</v>
      </c>
      <c r="C21" s="199" t="s">
        <v>406</v>
      </c>
    </row>
    <row r="22" spans="2:3">
      <c r="B22" s="60" t="s">
        <v>407</v>
      </c>
      <c r="C22" s="200" t="s">
        <v>261</v>
      </c>
    </row>
    <row r="23" spans="2:3">
      <c r="B23" s="60" t="s">
        <v>408</v>
      </c>
      <c r="C23" s="201" t="s">
        <v>409</v>
      </c>
    </row>
    <row r="24" spans="2:3">
      <c r="B24" s="60" t="s">
        <v>410</v>
      </c>
      <c r="C24" s="202" t="s">
        <v>411</v>
      </c>
    </row>
    <row r="25" spans="2:3">
      <c r="B25" s="60" t="s">
        <v>412</v>
      </c>
      <c r="C25" s="158" t="s">
        <v>413</v>
      </c>
    </row>
    <row r="26" spans="2:3">
      <c r="B26" s="60" t="s">
        <v>414</v>
      </c>
      <c r="C26" s="203" t="s">
        <v>415</v>
      </c>
    </row>
    <row r="27" spans="2:3">
      <c r="B27" s="60" t="s">
        <v>416</v>
      </c>
      <c r="C27" s="204" t="s">
        <v>417</v>
      </c>
    </row>
    <row r="28" spans="2:3">
      <c r="B28" s="60" t="s">
        <v>418</v>
      </c>
      <c r="C28" s="205" t="s">
        <v>419</v>
      </c>
    </row>
    <row r="29" spans="2:3">
      <c r="B29" s="60" t="s">
        <v>420</v>
      </c>
      <c r="C29" s="59" t="s">
        <v>421</v>
      </c>
    </row>
    <row r="30" spans="2:3">
      <c r="B30" s="60" t="s">
        <v>422</v>
      </c>
      <c r="C30" s="61" t="s">
        <v>423</v>
      </c>
    </row>
    <row r="31" spans="2:3">
      <c r="B31" s="60" t="s">
        <v>424</v>
      </c>
      <c r="C31" s="62" t="s">
        <v>425</v>
      </c>
    </row>
    <row r="32" spans="2:3">
      <c r="B32" s="60" t="s">
        <v>426</v>
      </c>
      <c r="C32" s="63" t="s">
        <v>427</v>
      </c>
    </row>
    <row r="34" spans="2:2">
      <c r="B34" s="206" t="s">
        <v>428</v>
      </c>
    </row>
  </sheetData>
  <sheetProtection password="D4C7" sheet="1" objects="1" scenarios="1" formatColumns="0" formatRows="0" autoFilter="0"/>
  <mergeCells count="5">
    <mergeCell ref="B2:N2"/>
    <mergeCell ref="B3:N3"/>
    <mergeCell ref="B5:C5"/>
    <mergeCell ref="E5:K5"/>
    <mergeCell ref="B19:C19"/>
  </mergeCell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Impression"/>
  <dimension ref="A1"/>
  <sheetViews>
    <sheetView workbookViewId="0"/>
  </sheetViews>
  <sheetFormatPr defaultRowHeight="15"/>
  <sheetData>
    <row r="1" spans="1:1">
      <c r="A1" t="s">
        <v>429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ACCUEIL</vt:lpstr>
      <vt:lpstr>MODE D'EMPLOI</vt:lpstr>
      <vt:lpstr>COURS DU JOUR</vt:lpstr>
      <vt:lpstr>CAHIER DE TEXTE</vt:lpstr>
      <vt:lpstr>PRÉSENCES</vt:lpstr>
      <vt:lpstr>EXPOSÉS</vt:lpstr>
      <vt:lpstr>RAPPORTS</vt:lpstr>
      <vt:lpstr>REMISES</vt:lpstr>
      <vt:lpstr>FICHE ÉTUDIANT</vt:lpstr>
      <vt:lpstr>SUIVI ENSEIGNANTS</vt:lpstr>
      <vt:lpstr>RÉCAP ABSENCES</vt:lpstr>
      <vt:lpstr>EXPORT PDF</vt:lpstr>
      <vt:lpstr>ÉTUDIANTS</vt:lpstr>
      <vt:lpstr>GROUPES</vt:lpstr>
      <vt:lpstr>MATIÈRES</vt:lpstr>
      <vt:lpstr>EMPLOI DU TEMPS</vt:lpstr>
      <vt:lpstr>PARAMÈTRES</vt:lpstr>
      <vt:lpstr>IMPRESSION</vt:lpstr>
      <vt:lpstr>LstJours</vt:lpstr>
      <vt:lpstr>LstModeExport</vt:lpstr>
      <vt:lpstr>LstProf</vt:lpstr>
      <vt:lpstr>LstStatutExpose</vt:lpstr>
      <vt:lpstr>LstStatuts</vt:lpstr>
      <vt:lpstr>LstTypeRapport</vt:lpstr>
      <vt:lpstr>LstTypes</vt:lpstr>
      <vt:lpstr>pAnnee</vt:lpstr>
      <vt:lpstr>pDebut</vt:lpstr>
      <vt:lpstr>pDelegue</vt:lpstr>
      <vt:lpstr>pDepartement</vt:lpstr>
      <vt:lpstr>pEcole</vt:lpstr>
      <vt:lpstr>pFin</vt:lpstr>
      <vt:lpstr>pMarge</vt:lpstr>
      <vt:lpstr>pNiveau</vt:lpstr>
      <vt:lpstr>pOption</vt:lpstr>
      <vt:lpstr>'FICHE ÉTUDIANT'!Print_Area</vt:lpstr>
      <vt:lpstr>pSemestre</vt:lpstr>
      <vt:lpstr>pSeuil</vt:lpstr>
    </vt:vector>
  </TitlesOfParts>
  <Company>EPAC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Suivi GC5 - cahier de texte et présences</dc:title>
  <dc:creator>Délégué GC5</dc:creator>
  <cp:lastModifiedBy>Délégué GC5</cp:lastModifiedBy>
  <dcterms:created xsi:type="dcterms:W3CDTF">2026-10-07T12:29:21Z</dcterms:created>
  <dcterms:modified xsi:type="dcterms:W3CDTF">2026-10-07T12:29:21Z</dcterms:modified>
</cp:coreProperties>
</file>